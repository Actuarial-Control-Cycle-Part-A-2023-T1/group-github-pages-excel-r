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unsw-my.sharepoint.com/personal/z5311195_ad_unsw_edu_au/Documents/ACTL4001 Program/"/>
    </mc:Choice>
  </mc:AlternateContent>
  <xr:revisionPtr revIDLastSave="5264" documentId="11_E60897F41BE170836B02CE998F75CCDC64E183C8" xr6:coauthVersionLast="47" xr6:coauthVersionMax="47" xr10:uidLastSave="{D5AE3BA6-E289-4F3E-941C-10D1CB0206DF}"/>
  <bookViews>
    <workbookView xWindow="-23148" yWindow="-108" windowWidth="23256" windowHeight="12456" tabRatio="739" firstSheet="2" activeTab="7" xr2:uid="{00000000-000D-0000-FFFF-FFFF00000000}"/>
  </bookViews>
  <sheets>
    <sheet name="Demographic-Economic" sheetId="1" r:id="rId1"/>
    <sheet name="Inflation-Interest" sheetId="2" r:id="rId2"/>
    <sheet name="SSP Scenarios" sheetId="10" r:id="rId3"/>
    <sheet name="Model" sheetId="8" r:id="rId4"/>
    <sheet name="Economic Projections" sheetId="11" r:id="rId5"/>
    <sheet name="Prediction Results" sheetId="3" r:id="rId6"/>
    <sheet name="Prediction Results (Transposed)" sheetId="9" r:id="rId7"/>
    <sheet name="Costing" sheetId="13" r:id="rId8"/>
    <sheet name="Relevant Graphs" sheetId="14" r:id="rId9"/>
    <sheet name="Sensitivity Analysis" sheetId="15"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9" i="13" l="1"/>
  <c r="F44" i="14"/>
  <c r="F45" i="14"/>
  <c r="F46" i="14"/>
  <c r="F47" i="14"/>
  <c r="F48" i="14"/>
  <c r="F49" i="14"/>
  <c r="F50" i="14"/>
  <c r="F51" i="14"/>
  <c r="F52" i="14"/>
  <c r="F53" i="14"/>
  <c r="F54" i="14"/>
  <c r="F55" i="14"/>
  <c r="F56" i="14"/>
  <c r="F57" i="14"/>
  <c r="F58" i="14"/>
  <c r="F59" i="14"/>
  <c r="F60" i="14"/>
  <c r="E44" i="14"/>
  <c r="E45" i="14"/>
  <c r="E46" i="14"/>
  <c r="E47" i="14"/>
  <c r="E48" i="14"/>
  <c r="E49" i="14"/>
  <c r="E50" i="14"/>
  <c r="E51" i="14"/>
  <c r="E52" i="14"/>
  <c r="E53" i="14"/>
  <c r="E54" i="14"/>
  <c r="E55" i="14"/>
  <c r="E56" i="14"/>
  <c r="E57" i="14"/>
  <c r="E58" i="14"/>
  <c r="E59" i="14"/>
  <c r="E60" i="14"/>
  <c r="E43" i="14"/>
  <c r="D44" i="14"/>
  <c r="D45" i="14"/>
  <c r="D46" i="14"/>
  <c r="D47" i="14"/>
  <c r="D48" i="14"/>
  <c r="D49" i="14"/>
  <c r="D50" i="14"/>
  <c r="D51" i="14"/>
  <c r="D52" i="14"/>
  <c r="D53" i="14"/>
  <c r="D54" i="14"/>
  <c r="D55" i="14"/>
  <c r="D56" i="14"/>
  <c r="D57" i="14"/>
  <c r="D58" i="14"/>
  <c r="D59" i="14"/>
  <c r="D60" i="14"/>
  <c r="D43" i="14"/>
  <c r="C44" i="14"/>
  <c r="C45" i="14"/>
  <c r="C46" i="14"/>
  <c r="C47" i="14"/>
  <c r="C48" i="14"/>
  <c r="C49" i="14"/>
  <c r="C50" i="14"/>
  <c r="C51" i="14"/>
  <c r="C52" i="14"/>
  <c r="C53" i="14"/>
  <c r="C54" i="14"/>
  <c r="C55" i="14"/>
  <c r="C56" i="14"/>
  <c r="C57" i="14"/>
  <c r="C58" i="14"/>
  <c r="C59" i="14"/>
  <c r="C60" i="14"/>
  <c r="C43" i="14"/>
  <c r="B15" i="13"/>
  <c r="AB24" i="13"/>
  <c r="AC24" i="13"/>
  <c r="AD24" i="13"/>
  <c r="AE24" i="13"/>
  <c r="AF24" i="13"/>
  <c r="AG24" i="13"/>
  <c r="AG25" i="13" s="1"/>
  <c r="AG26" i="13" s="1"/>
  <c r="AG27" i="13" s="1"/>
  <c r="AG28" i="13" s="1"/>
  <c r="AG29" i="13" s="1"/>
  <c r="AG30" i="13" s="1"/>
  <c r="AG31" i="13" s="1"/>
  <c r="AG32" i="13" s="1"/>
  <c r="AG33" i="13" s="1"/>
  <c r="AG34" i="13" s="1"/>
  <c r="AG35" i="13" s="1"/>
  <c r="AG36" i="13" s="1"/>
  <c r="AG37" i="13" s="1"/>
  <c r="AG38" i="13" s="1"/>
  <c r="AG39" i="13" s="1"/>
  <c r="AG40" i="13" s="1"/>
  <c r="T24" i="13"/>
  <c r="U24" i="13"/>
  <c r="V24" i="13"/>
  <c r="W24" i="13"/>
  <c r="W25" i="13" s="1"/>
  <c r="W26" i="13" s="1"/>
  <c r="W27" i="13" s="1"/>
  <c r="W28" i="13" s="1"/>
  <c r="W29" i="13" s="1"/>
  <c r="W30" i="13" s="1"/>
  <c r="W31" i="13" s="1"/>
  <c r="W32" i="13" s="1"/>
  <c r="W33" i="13" s="1"/>
  <c r="W34" i="13" s="1"/>
  <c r="W35" i="13" s="1"/>
  <c r="W36" i="13" s="1"/>
  <c r="W37" i="13" s="1"/>
  <c r="W38" i="13" s="1"/>
  <c r="W39" i="13" s="1"/>
  <c r="W40" i="13" s="1"/>
  <c r="X24" i="13"/>
  <c r="Y24" i="13"/>
  <c r="Y25" i="13" s="1"/>
  <c r="Y26" i="13" s="1"/>
  <c r="Y27" i="13" s="1"/>
  <c r="Y28" i="13" s="1"/>
  <c r="Y29" i="13" s="1"/>
  <c r="Y30" i="13" s="1"/>
  <c r="Y31" i="13" s="1"/>
  <c r="Y32" i="13" s="1"/>
  <c r="Y33" i="13" s="1"/>
  <c r="Y34" i="13" s="1"/>
  <c r="Y35" i="13" s="1"/>
  <c r="Y36" i="13" s="1"/>
  <c r="Y37" i="13" s="1"/>
  <c r="Y38" i="13" s="1"/>
  <c r="Y39" i="13" s="1"/>
  <c r="Y40" i="13" s="1"/>
  <c r="L24" i="13"/>
  <c r="M24" i="13"/>
  <c r="M25" i="13" s="1"/>
  <c r="M26" i="13" s="1"/>
  <c r="M27" i="13" s="1"/>
  <c r="M28" i="13" s="1"/>
  <c r="M29" i="13" s="1"/>
  <c r="M30" i="13" s="1"/>
  <c r="M31" i="13" s="1"/>
  <c r="M32" i="13" s="1"/>
  <c r="M33" i="13" s="1"/>
  <c r="M34" i="13" s="1"/>
  <c r="M35" i="13" s="1"/>
  <c r="M36" i="13" s="1"/>
  <c r="M37" i="13" s="1"/>
  <c r="M38" i="13" s="1"/>
  <c r="M39" i="13" s="1"/>
  <c r="M40" i="13" s="1"/>
  <c r="N24" i="13"/>
  <c r="O24" i="13"/>
  <c r="P24" i="13"/>
  <c r="Q24" i="13"/>
  <c r="L23" i="13"/>
  <c r="M23" i="13"/>
  <c r="N23" i="13"/>
  <c r="O23" i="13"/>
  <c r="P23" i="13"/>
  <c r="Q23" i="13"/>
  <c r="D24" i="13"/>
  <c r="E24" i="13"/>
  <c r="F24" i="13"/>
  <c r="G24" i="13"/>
  <c r="H24" i="13"/>
  <c r="I24" i="13"/>
  <c r="D25" i="13"/>
  <c r="D26" i="13" s="1"/>
  <c r="D27" i="13" s="1"/>
  <c r="D28" i="13" s="1"/>
  <c r="D29" i="13" s="1"/>
  <c r="D30" i="13" s="1"/>
  <c r="D31" i="13" s="1"/>
  <c r="D32" i="13" s="1"/>
  <c r="D33" i="13" s="1"/>
  <c r="D34" i="13" s="1"/>
  <c r="D35" i="13" s="1"/>
  <c r="D36" i="13" s="1"/>
  <c r="D37" i="13" s="1"/>
  <c r="D38" i="13" s="1"/>
  <c r="D39" i="13" s="1"/>
  <c r="D40" i="13" s="1"/>
  <c r="AC25" i="13"/>
  <c r="AC26" i="13" s="1"/>
  <c r="AC27" i="13" s="1"/>
  <c r="AC28" i="13" s="1"/>
  <c r="AC29" i="13" s="1"/>
  <c r="AC30" i="13" s="1"/>
  <c r="AC31" i="13" s="1"/>
  <c r="AC32" i="13" s="1"/>
  <c r="AC33" i="13" s="1"/>
  <c r="AC34" i="13" s="1"/>
  <c r="AC35" i="13" s="1"/>
  <c r="AC36" i="13" s="1"/>
  <c r="AC37" i="13" s="1"/>
  <c r="AC38" i="13" s="1"/>
  <c r="AC39" i="13" s="1"/>
  <c r="AC40" i="13" s="1"/>
  <c r="AD25" i="13"/>
  <c r="AD26" i="13" s="1"/>
  <c r="AD27" i="13" s="1"/>
  <c r="AD28" i="13" s="1"/>
  <c r="AD29" i="13" s="1"/>
  <c r="AD30" i="13" s="1"/>
  <c r="AD31" i="13" s="1"/>
  <c r="AD32" i="13" s="1"/>
  <c r="AD33" i="13" s="1"/>
  <c r="AD34" i="13" s="1"/>
  <c r="AD35" i="13" s="1"/>
  <c r="AD36" i="13" s="1"/>
  <c r="AD37" i="13" s="1"/>
  <c r="AD38" i="13" s="1"/>
  <c r="AD39" i="13" s="1"/>
  <c r="AD40" i="13" s="1"/>
  <c r="AE25" i="13"/>
  <c r="AE26" i="13" s="1"/>
  <c r="AE27" i="13" s="1"/>
  <c r="AE28" i="13" s="1"/>
  <c r="AE29" i="13" s="1"/>
  <c r="AE30" i="13" s="1"/>
  <c r="AE31" i="13" s="1"/>
  <c r="AE32" i="13" s="1"/>
  <c r="AE33" i="13" s="1"/>
  <c r="AE34" i="13" s="1"/>
  <c r="AE35" i="13" s="1"/>
  <c r="AE36" i="13" s="1"/>
  <c r="AE37" i="13" s="1"/>
  <c r="AE38" i="13" s="1"/>
  <c r="AE39" i="13" s="1"/>
  <c r="AE40" i="13" s="1"/>
  <c r="AF25" i="13"/>
  <c r="AF26" i="13" s="1"/>
  <c r="AF27" i="13" s="1"/>
  <c r="AF28" i="13" s="1"/>
  <c r="AF29" i="13" s="1"/>
  <c r="AF30" i="13" s="1"/>
  <c r="AF31" i="13" s="1"/>
  <c r="AF32" i="13" s="1"/>
  <c r="AF33" i="13" s="1"/>
  <c r="AF34" i="13" s="1"/>
  <c r="AF35" i="13" s="1"/>
  <c r="AF36" i="13" s="1"/>
  <c r="AF37" i="13" s="1"/>
  <c r="AF38" i="13" s="1"/>
  <c r="AF39" i="13" s="1"/>
  <c r="AF40" i="13" s="1"/>
  <c r="AB25" i="13"/>
  <c r="AB26" i="13" s="1"/>
  <c r="AB27" i="13" s="1"/>
  <c r="AB28" i="13" s="1"/>
  <c r="AB29" i="13" s="1"/>
  <c r="AB30" i="13" s="1"/>
  <c r="AB31" i="13" s="1"/>
  <c r="AB32" i="13" s="1"/>
  <c r="AB33" i="13" s="1"/>
  <c r="AB34" i="13" s="1"/>
  <c r="AB35" i="13" s="1"/>
  <c r="AB36" i="13" s="1"/>
  <c r="AB37" i="13" s="1"/>
  <c r="AB38" i="13" s="1"/>
  <c r="AB39" i="13" s="1"/>
  <c r="AB40" i="13" s="1"/>
  <c r="U25" i="13"/>
  <c r="T25" i="13"/>
  <c r="U26" i="13"/>
  <c r="U27" i="13" s="1"/>
  <c r="U28" i="13" s="1"/>
  <c r="U29" i="13" s="1"/>
  <c r="U30" i="13" s="1"/>
  <c r="U31" i="13" s="1"/>
  <c r="U32" i="13" s="1"/>
  <c r="U33" i="13" s="1"/>
  <c r="U34" i="13" s="1"/>
  <c r="U35" i="13" s="1"/>
  <c r="U36" i="13" s="1"/>
  <c r="U37" i="13" s="1"/>
  <c r="U38" i="13" s="1"/>
  <c r="U39" i="13" s="1"/>
  <c r="U40" i="13" s="1"/>
  <c r="V25" i="13"/>
  <c r="X25" i="13"/>
  <c r="V26" i="13"/>
  <c r="X26" i="13"/>
  <c r="X27" i="13" s="1"/>
  <c r="X28" i="13" s="1"/>
  <c r="X29" i="13" s="1"/>
  <c r="X30" i="13" s="1"/>
  <c r="X31" i="13" s="1"/>
  <c r="X32" i="13" s="1"/>
  <c r="X33" i="13" s="1"/>
  <c r="X34" i="13" s="1"/>
  <c r="X35" i="13" s="1"/>
  <c r="X36" i="13" s="1"/>
  <c r="X37" i="13" s="1"/>
  <c r="X38" i="13" s="1"/>
  <c r="X39" i="13" s="1"/>
  <c r="X40" i="13" s="1"/>
  <c r="V27" i="13"/>
  <c r="V28" i="13" s="1"/>
  <c r="V29" i="13" s="1"/>
  <c r="V30" i="13" s="1"/>
  <c r="V31" i="13" s="1"/>
  <c r="V32" i="13" s="1"/>
  <c r="V33" i="13" s="1"/>
  <c r="V34" i="13" s="1"/>
  <c r="V35" i="13" s="1"/>
  <c r="V36" i="13" s="1"/>
  <c r="V37" i="13" s="1"/>
  <c r="V38" i="13" s="1"/>
  <c r="V39" i="13" s="1"/>
  <c r="V40" i="13" s="1"/>
  <c r="T26" i="13"/>
  <c r="T27" i="13" s="1"/>
  <c r="T28" i="13" s="1"/>
  <c r="T29" i="13" s="1"/>
  <c r="T30" i="13" s="1"/>
  <c r="T31" i="13" s="1"/>
  <c r="T32" i="13" s="1"/>
  <c r="T33" i="13" s="1"/>
  <c r="T34" i="13" s="1"/>
  <c r="T35" i="13" s="1"/>
  <c r="T36" i="13" s="1"/>
  <c r="T37" i="13" s="1"/>
  <c r="T38" i="13" s="1"/>
  <c r="T39" i="13" s="1"/>
  <c r="T40" i="13" s="1"/>
  <c r="N25" i="13"/>
  <c r="O25" i="13"/>
  <c r="P25" i="13"/>
  <c r="P26" i="13" s="1"/>
  <c r="P27" i="13" s="1"/>
  <c r="P28" i="13" s="1"/>
  <c r="P29" i="13" s="1"/>
  <c r="P30" i="13" s="1"/>
  <c r="P31" i="13" s="1"/>
  <c r="P32" i="13" s="1"/>
  <c r="P33" i="13" s="1"/>
  <c r="P34" i="13" s="1"/>
  <c r="P35" i="13" s="1"/>
  <c r="P36" i="13" s="1"/>
  <c r="P37" i="13" s="1"/>
  <c r="P38" i="13" s="1"/>
  <c r="P39" i="13" s="1"/>
  <c r="P40" i="13" s="1"/>
  <c r="Q25" i="13"/>
  <c r="Q26" i="13" s="1"/>
  <c r="Q27" i="13" s="1"/>
  <c r="Q28" i="13" s="1"/>
  <c r="Q29" i="13" s="1"/>
  <c r="Q30" i="13" s="1"/>
  <c r="Q31" i="13" s="1"/>
  <c r="Q32" i="13" s="1"/>
  <c r="Q33" i="13" s="1"/>
  <c r="Q34" i="13" s="1"/>
  <c r="Q35" i="13" s="1"/>
  <c r="Q36" i="13" s="1"/>
  <c r="Q37" i="13" s="1"/>
  <c r="Q38" i="13" s="1"/>
  <c r="Q39" i="13" s="1"/>
  <c r="Q40" i="13" s="1"/>
  <c r="N26" i="13"/>
  <c r="N27" i="13" s="1"/>
  <c r="N28" i="13" s="1"/>
  <c r="N29" i="13" s="1"/>
  <c r="N30" i="13" s="1"/>
  <c r="N31" i="13" s="1"/>
  <c r="N32" i="13" s="1"/>
  <c r="N33" i="13" s="1"/>
  <c r="N34" i="13" s="1"/>
  <c r="N35" i="13" s="1"/>
  <c r="N36" i="13" s="1"/>
  <c r="N37" i="13" s="1"/>
  <c r="N38" i="13" s="1"/>
  <c r="N39" i="13" s="1"/>
  <c r="N40" i="13" s="1"/>
  <c r="O26" i="13"/>
  <c r="O27" i="13" s="1"/>
  <c r="O28" i="13" s="1"/>
  <c r="O29" i="13" s="1"/>
  <c r="O30" i="13" s="1"/>
  <c r="O31" i="13" s="1"/>
  <c r="O32" i="13" s="1"/>
  <c r="O33" i="13" s="1"/>
  <c r="O34" i="13" s="1"/>
  <c r="O35" i="13" s="1"/>
  <c r="O36" i="13" s="1"/>
  <c r="O37" i="13" s="1"/>
  <c r="O38" i="13" s="1"/>
  <c r="O39" i="13" s="1"/>
  <c r="O40" i="13" s="1"/>
  <c r="L26" i="13"/>
  <c r="L27" i="13" s="1"/>
  <c r="L28" i="13" s="1"/>
  <c r="L29" i="13" s="1"/>
  <c r="L30" i="13" s="1"/>
  <c r="L31" i="13" s="1"/>
  <c r="L32" i="13" s="1"/>
  <c r="L33" i="13" s="1"/>
  <c r="L34" i="13" s="1"/>
  <c r="L35" i="13" s="1"/>
  <c r="L36" i="13" s="1"/>
  <c r="L37" i="13" s="1"/>
  <c r="L38" i="13" s="1"/>
  <c r="L39" i="13" s="1"/>
  <c r="L40" i="13" s="1"/>
  <c r="L25" i="13"/>
  <c r="E25" i="13"/>
  <c r="F25" i="13"/>
  <c r="F26" i="13" s="1"/>
  <c r="F27" i="13" s="1"/>
  <c r="F28" i="13" s="1"/>
  <c r="F29" i="13" s="1"/>
  <c r="F30" i="13" s="1"/>
  <c r="F31" i="13" s="1"/>
  <c r="F32" i="13" s="1"/>
  <c r="F33" i="13" s="1"/>
  <c r="F34" i="13" s="1"/>
  <c r="F35" i="13" s="1"/>
  <c r="F36" i="13" s="1"/>
  <c r="F37" i="13" s="1"/>
  <c r="F38" i="13" s="1"/>
  <c r="F39" i="13" s="1"/>
  <c r="F40" i="13" s="1"/>
  <c r="G25" i="13"/>
  <c r="G26" i="13" s="1"/>
  <c r="G27" i="13" s="1"/>
  <c r="G28" i="13" s="1"/>
  <c r="G29" i="13" s="1"/>
  <c r="G30" i="13" s="1"/>
  <c r="G31" i="13" s="1"/>
  <c r="G32" i="13" s="1"/>
  <c r="G33" i="13" s="1"/>
  <c r="G34" i="13" s="1"/>
  <c r="G35" i="13" s="1"/>
  <c r="G36" i="13" s="1"/>
  <c r="G37" i="13" s="1"/>
  <c r="G38" i="13" s="1"/>
  <c r="G39" i="13" s="1"/>
  <c r="G40" i="13" s="1"/>
  <c r="H25" i="13"/>
  <c r="H26" i="13" s="1"/>
  <c r="H27" i="13" s="1"/>
  <c r="H28" i="13" s="1"/>
  <c r="H29" i="13" s="1"/>
  <c r="H30" i="13" s="1"/>
  <c r="H31" i="13" s="1"/>
  <c r="H32" i="13" s="1"/>
  <c r="H33" i="13" s="1"/>
  <c r="H34" i="13" s="1"/>
  <c r="H35" i="13" s="1"/>
  <c r="H36" i="13" s="1"/>
  <c r="H37" i="13" s="1"/>
  <c r="H38" i="13" s="1"/>
  <c r="H39" i="13" s="1"/>
  <c r="H40" i="13" s="1"/>
  <c r="I25" i="13"/>
  <c r="I26" i="13" s="1"/>
  <c r="I27" i="13" s="1"/>
  <c r="I28" i="13" s="1"/>
  <c r="I29" i="13" s="1"/>
  <c r="I30" i="13" s="1"/>
  <c r="I31" i="13" s="1"/>
  <c r="I32" i="13" s="1"/>
  <c r="I33" i="13" s="1"/>
  <c r="I34" i="13" s="1"/>
  <c r="I35" i="13" s="1"/>
  <c r="I36" i="13" s="1"/>
  <c r="I37" i="13" s="1"/>
  <c r="I38" i="13" s="1"/>
  <c r="I39" i="13" s="1"/>
  <c r="I40" i="13" s="1"/>
  <c r="E26" i="13"/>
  <c r="E27" i="13"/>
  <c r="E28" i="13" s="1"/>
  <c r="E29" i="13" s="1"/>
  <c r="E30" i="13" s="1"/>
  <c r="E31" i="13" s="1"/>
  <c r="E32" i="13" s="1"/>
  <c r="E33" i="13" s="1"/>
  <c r="E34" i="13" s="1"/>
  <c r="E35" i="13" s="1"/>
  <c r="E36" i="13" s="1"/>
  <c r="E37" i="13" s="1"/>
  <c r="E38" i="13" s="1"/>
  <c r="E39" i="13" s="1"/>
  <c r="E40" i="13" s="1"/>
  <c r="B50" i="1"/>
  <c r="B45" i="1"/>
  <c r="G176" i="13" l="1"/>
  <c r="F176" i="13"/>
  <c r="E176" i="13" l="1"/>
  <c r="H176" i="13"/>
  <c r="I176" i="13"/>
  <c r="E5" i="13" l="1"/>
  <c r="F5" i="13"/>
  <c r="G5" i="13"/>
  <c r="H5" i="13"/>
  <c r="I5" i="13"/>
  <c r="E6" i="13"/>
  <c r="F6" i="13"/>
  <c r="G6" i="13"/>
  <c r="H6" i="13"/>
  <c r="I6" i="13"/>
  <c r="E7" i="13"/>
  <c r="F7" i="13"/>
  <c r="G7" i="13"/>
  <c r="H7" i="13"/>
  <c r="I7" i="13"/>
  <c r="E8" i="13"/>
  <c r="F8" i="13"/>
  <c r="G8" i="13"/>
  <c r="H8" i="13"/>
  <c r="I8" i="13"/>
  <c r="E9" i="13"/>
  <c r="F9" i="13"/>
  <c r="G9" i="13"/>
  <c r="H9" i="13"/>
  <c r="I9" i="13"/>
  <c r="E10" i="13"/>
  <c r="F10" i="13"/>
  <c r="G10" i="13"/>
  <c r="H10" i="13"/>
  <c r="I10" i="13"/>
  <c r="E11" i="13"/>
  <c r="F11" i="13"/>
  <c r="G11" i="13"/>
  <c r="H11" i="13"/>
  <c r="I11" i="13"/>
  <c r="E12" i="13"/>
  <c r="F12" i="13"/>
  <c r="G12" i="13"/>
  <c r="H12" i="13"/>
  <c r="I12" i="13"/>
  <c r="E13" i="13"/>
  <c r="F13" i="13"/>
  <c r="G13" i="13"/>
  <c r="H13" i="13"/>
  <c r="I13" i="13"/>
  <c r="E14" i="13"/>
  <c r="F14" i="13"/>
  <c r="G14" i="13"/>
  <c r="H14" i="13"/>
  <c r="I14" i="13"/>
  <c r="E15" i="13"/>
  <c r="F15" i="13"/>
  <c r="G15" i="13"/>
  <c r="H15" i="13"/>
  <c r="I15" i="13"/>
  <c r="E16" i="13"/>
  <c r="F16" i="13"/>
  <c r="G16" i="13"/>
  <c r="H16" i="13"/>
  <c r="I16" i="13"/>
  <c r="E17" i="13"/>
  <c r="F17" i="13"/>
  <c r="G17" i="13"/>
  <c r="H17" i="13"/>
  <c r="I17" i="13"/>
  <c r="E18" i="13"/>
  <c r="F18" i="13"/>
  <c r="G18" i="13"/>
  <c r="H18" i="13"/>
  <c r="I18" i="13"/>
  <c r="E19" i="13"/>
  <c r="F19" i="13"/>
  <c r="G19" i="13"/>
  <c r="H19" i="13"/>
  <c r="I19" i="13"/>
  <c r="E20" i="13"/>
  <c r="F20" i="13"/>
  <c r="G20" i="13"/>
  <c r="H20" i="13"/>
  <c r="I20" i="13"/>
  <c r="E21" i="13"/>
  <c r="F21" i="13"/>
  <c r="G21" i="13"/>
  <c r="H21" i="13"/>
  <c r="I21" i="13"/>
  <c r="D6" i="13"/>
  <c r="D7" i="13"/>
  <c r="D8" i="13"/>
  <c r="D122" i="13" s="1"/>
  <c r="D9" i="13"/>
  <c r="D10" i="13"/>
  <c r="D11" i="13"/>
  <c r="D12" i="13"/>
  <c r="D13" i="13"/>
  <c r="D14" i="13"/>
  <c r="D15" i="13"/>
  <c r="D16" i="13"/>
  <c r="D17" i="13"/>
  <c r="D18" i="13"/>
  <c r="D19" i="13"/>
  <c r="D20" i="13"/>
  <c r="D21" i="13"/>
  <c r="D5" i="13"/>
  <c r="B63" i="2"/>
  <c r="AC99" i="13"/>
  <c r="AD99" i="13"/>
  <c r="AE99" i="13"/>
  <c r="AF99" i="13"/>
  <c r="AG99" i="13"/>
  <c r="U99" i="13"/>
  <c r="V99" i="13"/>
  <c r="W99" i="13"/>
  <c r="X99" i="13"/>
  <c r="Y99" i="13"/>
  <c r="M99" i="13"/>
  <c r="N99" i="13"/>
  <c r="O99" i="13"/>
  <c r="P99" i="13"/>
  <c r="Q99" i="13"/>
  <c r="E99" i="13"/>
  <c r="F99" i="13"/>
  <c r="G99" i="13"/>
  <c r="H99" i="13"/>
  <c r="I99" i="13"/>
  <c r="AC62" i="13"/>
  <c r="AC63" i="13" s="1"/>
  <c r="AC64" i="13" s="1"/>
  <c r="AC65" i="13" s="1"/>
  <c r="AC66" i="13" s="1"/>
  <c r="AC67" i="13" s="1"/>
  <c r="AC68" i="13" s="1"/>
  <c r="AC69" i="13" s="1"/>
  <c r="AC70" i="13" s="1"/>
  <c r="AC71" i="13" s="1"/>
  <c r="AC72" i="13" s="1"/>
  <c r="AC73" i="13" s="1"/>
  <c r="AC74" i="13" s="1"/>
  <c r="AC75" i="13" s="1"/>
  <c r="AC76" i="13" s="1"/>
  <c r="AC77" i="13" s="1"/>
  <c r="AC78" i="13" s="1"/>
  <c r="AD62" i="13"/>
  <c r="AD63" i="13" s="1"/>
  <c r="AD64" i="13" s="1"/>
  <c r="AD65" i="13" s="1"/>
  <c r="AD66" i="13" s="1"/>
  <c r="AD67" i="13" s="1"/>
  <c r="AD68" i="13" s="1"/>
  <c r="AD69" i="13" s="1"/>
  <c r="AD70" i="13" s="1"/>
  <c r="AD71" i="13" s="1"/>
  <c r="AD72" i="13" s="1"/>
  <c r="AD73" i="13" s="1"/>
  <c r="AD74" i="13" s="1"/>
  <c r="AD75" i="13" s="1"/>
  <c r="AD76" i="13" s="1"/>
  <c r="AD77" i="13" s="1"/>
  <c r="AD78" i="13" s="1"/>
  <c r="AE62" i="13"/>
  <c r="AE63" i="13" s="1"/>
  <c r="AE64" i="13" s="1"/>
  <c r="AE65" i="13" s="1"/>
  <c r="AE66" i="13" s="1"/>
  <c r="AE67" i="13" s="1"/>
  <c r="AE68" i="13" s="1"/>
  <c r="AE69" i="13" s="1"/>
  <c r="AE70" i="13" s="1"/>
  <c r="AE71" i="13" s="1"/>
  <c r="AE72" i="13" s="1"/>
  <c r="AE73" i="13" s="1"/>
  <c r="AE74" i="13" s="1"/>
  <c r="AE75" i="13" s="1"/>
  <c r="AE76" i="13" s="1"/>
  <c r="AE77" i="13" s="1"/>
  <c r="AE78" i="13" s="1"/>
  <c r="AF62" i="13"/>
  <c r="AF63" i="13" s="1"/>
  <c r="AF64" i="13" s="1"/>
  <c r="AF65" i="13" s="1"/>
  <c r="AF66" i="13" s="1"/>
  <c r="AF67" i="13" s="1"/>
  <c r="AF68" i="13" s="1"/>
  <c r="AF69" i="13" s="1"/>
  <c r="AF70" i="13" s="1"/>
  <c r="AF71" i="13" s="1"/>
  <c r="AF72" i="13" s="1"/>
  <c r="AF73" i="13" s="1"/>
  <c r="AF74" i="13" s="1"/>
  <c r="AF75" i="13" s="1"/>
  <c r="AF76" i="13" s="1"/>
  <c r="AF77" i="13" s="1"/>
  <c r="AF78" i="13" s="1"/>
  <c r="AG62" i="13"/>
  <c r="AG63" i="13" s="1"/>
  <c r="AG64" i="13" s="1"/>
  <c r="AG65" i="13" s="1"/>
  <c r="AG66" i="13" s="1"/>
  <c r="AG67" i="13" s="1"/>
  <c r="AG68" i="13" s="1"/>
  <c r="AG69" i="13" s="1"/>
  <c r="AG70" i="13" s="1"/>
  <c r="AG71" i="13" s="1"/>
  <c r="AG72" i="13" s="1"/>
  <c r="AG73" i="13" s="1"/>
  <c r="AG74" i="13" s="1"/>
  <c r="AG75" i="13" s="1"/>
  <c r="AG76" i="13" s="1"/>
  <c r="AG77" i="13" s="1"/>
  <c r="AG78" i="13" s="1"/>
  <c r="AB62" i="13"/>
  <c r="AB63" i="13" s="1"/>
  <c r="AB64" i="13" s="1"/>
  <c r="AB65" i="13" s="1"/>
  <c r="AB66" i="13" s="1"/>
  <c r="AB67" i="13" s="1"/>
  <c r="AB68" i="13" s="1"/>
  <c r="AB69" i="13" s="1"/>
  <c r="AB70" i="13" s="1"/>
  <c r="AB71" i="13" s="1"/>
  <c r="AB72" i="13" s="1"/>
  <c r="AB73" i="13" s="1"/>
  <c r="AB74" i="13" s="1"/>
  <c r="AB75" i="13" s="1"/>
  <c r="AB76" i="13" s="1"/>
  <c r="AB77" i="13" s="1"/>
  <c r="AB78" i="13" s="1"/>
  <c r="U62" i="13"/>
  <c r="U63" i="13" s="1"/>
  <c r="U64" i="13" s="1"/>
  <c r="U65" i="13" s="1"/>
  <c r="U66" i="13" s="1"/>
  <c r="U67" i="13" s="1"/>
  <c r="U68" i="13" s="1"/>
  <c r="U69" i="13" s="1"/>
  <c r="U70" i="13" s="1"/>
  <c r="U71" i="13" s="1"/>
  <c r="U72" i="13" s="1"/>
  <c r="U73" i="13" s="1"/>
  <c r="U74" i="13" s="1"/>
  <c r="U75" i="13" s="1"/>
  <c r="U76" i="13" s="1"/>
  <c r="U77" i="13" s="1"/>
  <c r="U78" i="13" s="1"/>
  <c r="V62" i="13"/>
  <c r="V63" i="13" s="1"/>
  <c r="V64" i="13" s="1"/>
  <c r="V65" i="13" s="1"/>
  <c r="V66" i="13" s="1"/>
  <c r="V67" i="13" s="1"/>
  <c r="V68" i="13" s="1"/>
  <c r="V69" i="13" s="1"/>
  <c r="V70" i="13" s="1"/>
  <c r="V71" i="13" s="1"/>
  <c r="V72" i="13" s="1"/>
  <c r="V73" i="13" s="1"/>
  <c r="V74" i="13" s="1"/>
  <c r="V75" i="13" s="1"/>
  <c r="V76" i="13" s="1"/>
  <c r="V77" i="13" s="1"/>
  <c r="V78" i="13" s="1"/>
  <c r="W62" i="13"/>
  <c r="W63" i="13" s="1"/>
  <c r="W64" i="13" s="1"/>
  <c r="W65" i="13" s="1"/>
  <c r="W66" i="13" s="1"/>
  <c r="W67" i="13" s="1"/>
  <c r="W68" i="13" s="1"/>
  <c r="W69" i="13" s="1"/>
  <c r="W70" i="13" s="1"/>
  <c r="W71" i="13" s="1"/>
  <c r="W72" i="13" s="1"/>
  <c r="W73" i="13" s="1"/>
  <c r="W74" i="13" s="1"/>
  <c r="W75" i="13" s="1"/>
  <c r="W76" i="13" s="1"/>
  <c r="W77" i="13" s="1"/>
  <c r="W78" i="13" s="1"/>
  <c r="X62" i="13"/>
  <c r="X63" i="13" s="1"/>
  <c r="X64" i="13" s="1"/>
  <c r="X65" i="13" s="1"/>
  <c r="X66" i="13" s="1"/>
  <c r="X67" i="13" s="1"/>
  <c r="X68" i="13" s="1"/>
  <c r="X69" i="13" s="1"/>
  <c r="X70" i="13" s="1"/>
  <c r="X71" i="13" s="1"/>
  <c r="X72" i="13" s="1"/>
  <c r="X73" i="13" s="1"/>
  <c r="X74" i="13" s="1"/>
  <c r="X75" i="13" s="1"/>
  <c r="X76" i="13" s="1"/>
  <c r="X77" i="13" s="1"/>
  <c r="X78" i="13" s="1"/>
  <c r="Y62" i="13"/>
  <c r="Y63" i="13" s="1"/>
  <c r="Y64" i="13" s="1"/>
  <c r="Y65" i="13" s="1"/>
  <c r="Y66" i="13" s="1"/>
  <c r="Y67" i="13" s="1"/>
  <c r="Y68" i="13" s="1"/>
  <c r="Y69" i="13" s="1"/>
  <c r="Y70" i="13" s="1"/>
  <c r="Y71" i="13" s="1"/>
  <c r="Y72" i="13" s="1"/>
  <c r="Y73" i="13" s="1"/>
  <c r="Y74" i="13" s="1"/>
  <c r="Y75" i="13" s="1"/>
  <c r="Y76" i="13" s="1"/>
  <c r="Y77" i="13" s="1"/>
  <c r="Y78" i="13" s="1"/>
  <c r="T62" i="13"/>
  <c r="T63" i="13" s="1"/>
  <c r="T64" i="13" s="1"/>
  <c r="T65" i="13" s="1"/>
  <c r="T66" i="13" s="1"/>
  <c r="T67" i="13" s="1"/>
  <c r="T68" i="13" s="1"/>
  <c r="T69" i="13" s="1"/>
  <c r="T70" i="13" s="1"/>
  <c r="T71" i="13" s="1"/>
  <c r="T72" i="13" s="1"/>
  <c r="T73" i="13" s="1"/>
  <c r="T74" i="13" s="1"/>
  <c r="T75" i="13" s="1"/>
  <c r="T76" i="13" s="1"/>
  <c r="T77" i="13" s="1"/>
  <c r="T78" i="13" s="1"/>
  <c r="M62" i="13"/>
  <c r="M63" i="13" s="1"/>
  <c r="M64" i="13" s="1"/>
  <c r="M65" i="13" s="1"/>
  <c r="M66" i="13" s="1"/>
  <c r="M67" i="13" s="1"/>
  <c r="M68" i="13" s="1"/>
  <c r="M69" i="13" s="1"/>
  <c r="M70" i="13" s="1"/>
  <c r="M71" i="13" s="1"/>
  <c r="M72" i="13" s="1"/>
  <c r="M73" i="13" s="1"/>
  <c r="M74" i="13" s="1"/>
  <c r="M75" i="13" s="1"/>
  <c r="M76" i="13" s="1"/>
  <c r="M77" i="13" s="1"/>
  <c r="M78" i="13" s="1"/>
  <c r="N62" i="13"/>
  <c r="N63" i="13" s="1"/>
  <c r="N64" i="13" s="1"/>
  <c r="N65" i="13" s="1"/>
  <c r="N66" i="13" s="1"/>
  <c r="N67" i="13" s="1"/>
  <c r="N68" i="13" s="1"/>
  <c r="N69" i="13" s="1"/>
  <c r="N70" i="13" s="1"/>
  <c r="N71" i="13" s="1"/>
  <c r="N72" i="13" s="1"/>
  <c r="N73" i="13" s="1"/>
  <c r="N74" i="13" s="1"/>
  <c r="N75" i="13" s="1"/>
  <c r="N76" i="13" s="1"/>
  <c r="N77" i="13" s="1"/>
  <c r="N78" i="13" s="1"/>
  <c r="O62" i="13"/>
  <c r="O63" i="13" s="1"/>
  <c r="O64" i="13" s="1"/>
  <c r="O65" i="13" s="1"/>
  <c r="O66" i="13" s="1"/>
  <c r="O67" i="13" s="1"/>
  <c r="O68" i="13" s="1"/>
  <c r="O69" i="13" s="1"/>
  <c r="O70" i="13" s="1"/>
  <c r="O71" i="13" s="1"/>
  <c r="O72" i="13" s="1"/>
  <c r="O73" i="13" s="1"/>
  <c r="O74" i="13" s="1"/>
  <c r="O75" i="13" s="1"/>
  <c r="O76" i="13" s="1"/>
  <c r="O77" i="13" s="1"/>
  <c r="O78" i="13" s="1"/>
  <c r="P62" i="13"/>
  <c r="P63" i="13" s="1"/>
  <c r="P64" i="13" s="1"/>
  <c r="P65" i="13" s="1"/>
  <c r="P66" i="13" s="1"/>
  <c r="P67" i="13" s="1"/>
  <c r="P68" i="13" s="1"/>
  <c r="P69" i="13" s="1"/>
  <c r="P70" i="13" s="1"/>
  <c r="P71" i="13" s="1"/>
  <c r="P72" i="13" s="1"/>
  <c r="P73" i="13" s="1"/>
  <c r="P74" i="13" s="1"/>
  <c r="P75" i="13" s="1"/>
  <c r="P76" i="13" s="1"/>
  <c r="P77" i="13" s="1"/>
  <c r="P78" i="13" s="1"/>
  <c r="Q62" i="13"/>
  <c r="Q63" i="13" s="1"/>
  <c r="Q64" i="13" s="1"/>
  <c r="Q65" i="13" s="1"/>
  <c r="Q66" i="13" s="1"/>
  <c r="Q67" i="13" s="1"/>
  <c r="Q68" i="13" s="1"/>
  <c r="Q69" i="13" s="1"/>
  <c r="Q70" i="13" s="1"/>
  <c r="Q71" i="13" s="1"/>
  <c r="Q72" i="13" s="1"/>
  <c r="Q73" i="13" s="1"/>
  <c r="Q74" i="13" s="1"/>
  <c r="Q75" i="13" s="1"/>
  <c r="Q76" i="13" s="1"/>
  <c r="Q77" i="13" s="1"/>
  <c r="Q78" i="13" s="1"/>
  <c r="L62" i="13"/>
  <c r="L63" i="13" s="1"/>
  <c r="L64" i="13" s="1"/>
  <c r="L65" i="13" s="1"/>
  <c r="L66" i="13" s="1"/>
  <c r="L67" i="13" s="1"/>
  <c r="L68" i="13" s="1"/>
  <c r="L69" i="13" s="1"/>
  <c r="L70" i="13" s="1"/>
  <c r="L71" i="13" s="1"/>
  <c r="L72" i="13" s="1"/>
  <c r="L73" i="13" s="1"/>
  <c r="L74" i="13" s="1"/>
  <c r="L75" i="13" s="1"/>
  <c r="L76" i="13" s="1"/>
  <c r="L77" i="13" s="1"/>
  <c r="L78" i="13" s="1"/>
  <c r="E62" i="13"/>
  <c r="E63" i="13" s="1"/>
  <c r="E64" i="13" s="1"/>
  <c r="E65" i="13" s="1"/>
  <c r="E66" i="13" s="1"/>
  <c r="E67" i="13" s="1"/>
  <c r="E68" i="13" s="1"/>
  <c r="E69" i="13" s="1"/>
  <c r="E70" i="13" s="1"/>
  <c r="E71" i="13" s="1"/>
  <c r="E72" i="13" s="1"/>
  <c r="E73" i="13" s="1"/>
  <c r="E74" i="13" s="1"/>
  <c r="E75" i="13" s="1"/>
  <c r="E76" i="13" s="1"/>
  <c r="E77" i="13" s="1"/>
  <c r="E78" i="13" s="1"/>
  <c r="F62" i="13"/>
  <c r="F63" i="13" s="1"/>
  <c r="F64" i="13" s="1"/>
  <c r="F65" i="13" s="1"/>
  <c r="F66" i="13" s="1"/>
  <c r="F67" i="13" s="1"/>
  <c r="F68" i="13" s="1"/>
  <c r="F69" i="13" s="1"/>
  <c r="F70" i="13" s="1"/>
  <c r="F71" i="13" s="1"/>
  <c r="F72" i="13" s="1"/>
  <c r="F73" i="13" s="1"/>
  <c r="F74" i="13" s="1"/>
  <c r="F75" i="13" s="1"/>
  <c r="F76" i="13" s="1"/>
  <c r="F77" i="13" s="1"/>
  <c r="F78" i="13" s="1"/>
  <c r="G62" i="13"/>
  <c r="G63" i="13" s="1"/>
  <c r="G64" i="13" s="1"/>
  <c r="G65" i="13" s="1"/>
  <c r="G66" i="13" s="1"/>
  <c r="G67" i="13" s="1"/>
  <c r="G68" i="13" s="1"/>
  <c r="G69" i="13" s="1"/>
  <c r="G70" i="13" s="1"/>
  <c r="G71" i="13" s="1"/>
  <c r="G72" i="13" s="1"/>
  <c r="G73" i="13" s="1"/>
  <c r="G74" i="13" s="1"/>
  <c r="G75" i="13" s="1"/>
  <c r="G76" i="13" s="1"/>
  <c r="G77" i="13" s="1"/>
  <c r="G78" i="13" s="1"/>
  <c r="H62" i="13"/>
  <c r="H63" i="13" s="1"/>
  <c r="H64" i="13" s="1"/>
  <c r="H65" i="13" s="1"/>
  <c r="H66" i="13" s="1"/>
  <c r="H67" i="13" s="1"/>
  <c r="H68" i="13" s="1"/>
  <c r="H69" i="13" s="1"/>
  <c r="H70" i="13" s="1"/>
  <c r="H71" i="13" s="1"/>
  <c r="H72" i="13" s="1"/>
  <c r="H73" i="13" s="1"/>
  <c r="H74" i="13" s="1"/>
  <c r="H75" i="13" s="1"/>
  <c r="H76" i="13" s="1"/>
  <c r="H77" i="13" s="1"/>
  <c r="H78" i="13" s="1"/>
  <c r="I62" i="13"/>
  <c r="I63" i="13" s="1"/>
  <c r="I64" i="13" s="1"/>
  <c r="I65" i="13" s="1"/>
  <c r="I66" i="13" s="1"/>
  <c r="I67" i="13" s="1"/>
  <c r="I68" i="13" s="1"/>
  <c r="I69" i="13" s="1"/>
  <c r="I70" i="13" s="1"/>
  <c r="I71" i="13" s="1"/>
  <c r="I72" i="13" s="1"/>
  <c r="I73" i="13" s="1"/>
  <c r="I74" i="13" s="1"/>
  <c r="I75" i="13" s="1"/>
  <c r="I76" i="13" s="1"/>
  <c r="I77" i="13" s="1"/>
  <c r="I78" i="13" s="1"/>
  <c r="D62" i="13"/>
  <c r="D63" i="13" s="1"/>
  <c r="D64" i="13" s="1"/>
  <c r="D65" i="13" s="1"/>
  <c r="D66" i="13" s="1"/>
  <c r="D67" i="13" s="1"/>
  <c r="D68" i="13" s="1"/>
  <c r="D69" i="13" s="1"/>
  <c r="D70" i="13" s="1"/>
  <c r="D71" i="13" s="1"/>
  <c r="D72" i="13" s="1"/>
  <c r="D73" i="13" s="1"/>
  <c r="D74" i="13" s="1"/>
  <c r="D75" i="13" s="1"/>
  <c r="D76" i="13" s="1"/>
  <c r="D77" i="13" s="1"/>
  <c r="D78" i="13" s="1"/>
  <c r="AC43" i="13"/>
  <c r="AC44" i="13" s="1"/>
  <c r="AC45" i="13" s="1"/>
  <c r="AC46" i="13" s="1"/>
  <c r="AC47" i="13" s="1"/>
  <c r="AC48" i="13" s="1"/>
  <c r="AC49" i="13" s="1"/>
  <c r="AC50" i="13" s="1"/>
  <c r="AC51" i="13" s="1"/>
  <c r="AC52" i="13" s="1"/>
  <c r="AC53" i="13" s="1"/>
  <c r="AC54" i="13" s="1"/>
  <c r="AC55" i="13" s="1"/>
  <c r="AC56" i="13" s="1"/>
  <c r="AC57" i="13" s="1"/>
  <c r="AC58" i="13" s="1"/>
  <c r="AC59" i="13" s="1"/>
  <c r="AD43" i="13"/>
  <c r="AD44" i="13" s="1"/>
  <c r="AD45" i="13" s="1"/>
  <c r="AD46" i="13" s="1"/>
  <c r="AD47" i="13" s="1"/>
  <c r="AD48" i="13" s="1"/>
  <c r="AD49" i="13" s="1"/>
  <c r="AD50" i="13" s="1"/>
  <c r="AD51" i="13" s="1"/>
  <c r="AD52" i="13" s="1"/>
  <c r="AD53" i="13" s="1"/>
  <c r="AD54" i="13" s="1"/>
  <c r="AD55" i="13" s="1"/>
  <c r="AD56" i="13" s="1"/>
  <c r="AD57" i="13" s="1"/>
  <c r="AD58" i="13" s="1"/>
  <c r="AD59" i="13" s="1"/>
  <c r="AE43" i="13"/>
  <c r="AE44" i="13" s="1"/>
  <c r="AE45" i="13" s="1"/>
  <c r="AE46" i="13" s="1"/>
  <c r="AE47" i="13" s="1"/>
  <c r="AE48" i="13" s="1"/>
  <c r="AE49" i="13" s="1"/>
  <c r="AE50" i="13" s="1"/>
  <c r="AE51" i="13" s="1"/>
  <c r="AE52" i="13" s="1"/>
  <c r="AE53" i="13" s="1"/>
  <c r="AE54" i="13" s="1"/>
  <c r="AE55" i="13" s="1"/>
  <c r="AE56" i="13" s="1"/>
  <c r="AE57" i="13" s="1"/>
  <c r="AE58" i="13" s="1"/>
  <c r="AE59" i="13" s="1"/>
  <c r="AF43" i="13"/>
  <c r="AF44" i="13" s="1"/>
  <c r="AF45" i="13" s="1"/>
  <c r="AF46" i="13" s="1"/>
  <c r="AF47" i="13" s="1"/>
  <c r="AF48" i="13" s="1"/>
  <c r="AF49" i="13" s="1"/>
  <c r="AF50" i="13" s="1"/>
  <c r="AF51" i="13" s="1"/>
  <c r="AF52" i="13" s="1"/>
  <c r="AF53" i="13" s="1"/>
  <c r="AF54" i="13" s="1"/>
  <c r="AF55" i="13" s="1"/>
  <c r="AF56" i="13" s="1"/>
  <c r="AF57" i="13" s="1"/>
  <c r="AF58" i="13" s="1"/>
  <c r="AF59" i="13" s="1"/>
  <c r="AG43" i="13"/>
  <c r="AG44" i="13" s="1"/>
  <c r="AG45" i="13" s="1"/>
  <c r="AG46" i="13" s="1"/>
  <c r="AG47" i="13" s="1"/>
  <c r="AG48" i="13" s="1"/>
  <c r="AG49" i="13" s="1"/>
  <c r="AG50" i="13" s="1"/>
  <c r="AG51" i="13" s="1"/>
  <c r="AG52" i="13" s="1"/>
  <c r="AG53" i="13" s="1"/>
  <c r="AG54" i="13" s="1"/>
  <c r="AG55" i="13" s="1"/>
  <c r="AG56" i="13" s="1"/>
  <c r="AG57" i="13" s="1"/>
  <c r="AG58" i="13" s="1"/>
  <c r="AG59" i="13" s="1"/>
  <c r="U43" i="13"/>
  <c r="U44" i="13" s="1"/>
  <c r="U45" i="13" s="1"/>
  <c r="U46" i="13" s="1"/>
  <c r="U47" i="13" s="1"/>
  <c r="U48" i="13" s="1"/>
  <c r="U49" i="13" s="1"/>
  <c r="U50" i="13" s="1"/>
  <c r="U51" i="13" s="1"/>
  <c r="U52" i="13" s="1"/>
  <c r="U53" i="13" s="1"/>
  <c r="U54" i="13" s="1"/>
  <c r="U55" i="13" s="1"/>
  <c r="U56" i="13" s="1"/>
  <c r="U57" i="13" s="1"/>
  <c r="U58" i="13" s="1"/>
  <c r="U59" i="13" s="1"/>
  <c r="V43" i="13"/>
  <c r="V44" i="13" s="1"/>
  <c r="V45" i="13" s="1"/>
  <c r="V46" i="13" s="1"/>
  <c r="V47" i="13" s="1"/>
  <c r="V48" i="13" s="1"/>
  <c r="V49" i="13" s="1"/>
  <c r="V50" i="13" s="1"/>
  <c r="V51" i="13" s="1"/>
  <c r="V52" i="13" s="1"/>
  <c r="V53" i="13" s="1"/>
  <c r="V54" i="13" s="1"/>
  <c r="V55" i="13" s="1"/>
  <c r="V56" i="13" s="1"/>
  <c r="V57" i="13" s="1"/>
  <c r="V58" i="13" s="1"/>
  <c r="V59" i="13" s="1"/>
  <c r="W43" i="13"/>
  <c r="W44" i="13" s="1"/>
  <c r="W45" i="13" s="1"/>
  <c r="W46" i="13" s="1"/>
  <c r="W47" i="13" s="1"/>
  <c r="W48" i="13" s="1"/>
  <c r="W49" i="13" s="1"/>
  <c r="W50" i="13" s="1"/>
  <c r="W51" i="13" s="1"/>
  <c r="W52" i="13" s="1"/>
  <c r="W53" i="13" s="1"/>
  <c r="W54" i="13" s="1"/>
  <c r="W55" i="13" s="1"/>
  <c r="W56" i="13" s="1"/>
  <c r="W57" i="13" s="1"/>
  <c r="W58" i="13" s="1"/>
  <c r="W59" i="13" s="1"/>
  <c r="X43" i="13"/>
  <c r="X44" i="13" s="1"/>
  <c r="X45" i="13" s="1"/>
  <c r="X46" i="13" s="1"/>
  <c r="X47" i="13" s="1"/>
  <c r="X48" i="13" s="1"/>
  <c r="X49" i="13" s="1"/>
  <c r="X50" i="13" s="1"/>
  <c r="X51" i="13" s="1"/>
  <c r="X52" i="13" s="1"/>
  <c r="X53" i="13" s="1"/>
  <c r="X54" i="13" s="1"/>
  <c r="X55" i="13" s="1"/>
  <c r="X56" i="13" s="1"/>
  <c r="X57" i="13" s="1"/>
  <c r="X58" i="13" s="1"/>
  <c r="X59" i="13" s="1"/>
  <c r="Y43" i="13"/>
  <c r="Y44" i="13" s="1"/>
  <c r="Y45" i="13" s="1"/>
  <c r="Y46" i="13" s="1"/>
  <c r="Y47" i="13" s="1"/>
  <c r="Y48" i="13" s="1"/>
  <c r="Y49" i="13" s="1"/>
  <c r="Y50" i="13" s="1"/>
  <c r="Y51" i="13" s="1"/>
  <c r="Y52" i="13" s="1"/>
  <c r="Y53" i="13" s="1"/>
  <c r="Y54" i="13" s="1"/>
  <c r="Y55" i="13" s="1"/>
  <c r="Y56" i="13" s="1"/>
  <c r="Y57" i="13" s="1"/>
  <c r="Y58" i="13" s="1"/>
  <c r="Y59" i="13" s="1"/>
  <c r="M43" i="13"/>
  <c r="M44" i="13" s="1"/>
  <c r="M45" i="13" s="1"/>
  <c r="M46" i="13" s="1"/>
  <c r="M47" i="13" s="1"/>
  <c r="M48" i="13" s="1"/>
  <c r="M49" i="13" s="1"/>
  <c r="M50" i="13" s="1"/>
  <c r="M51" i="13" s="1"/>
  <c r="M52" i="13" s="1"/>
  <c r="M53" i="13" s="1"/>
  <c r="M54" i="13" s="1"/>
  <c r="M55" i="13" s="1"/>
  <c r="M56" i="13" s="1"/>
  <c r="M57" i="13" s="1"/>
  <c r="M58" i="13" s="1"/>
  <c r="M59" i="13" s="1"/>
  <c r="N43" i="13"/>
  <c r="N44" i="13" s="1"/>
  <c r="N45" i="13" s="1"/>
  <c r="N46" i="13" s="1"/>
  <c r="N47" i="13" s="1"/>
  <c r="N48" i="13" s="1"/>
  <c r="N49" i="13" s="1"/>
  <c r="N50" i="13" s="1"/>
  <c r="N51" i="13" s="1"/>
  <c r="N52" i="13" s="1"/>
  <c r="N53" i="13" s="1"/>
  <c r="N54" i="13" s="1"/>
  <c r="N55" i="13" s="1"/>
  <c r="N56" i="13" s="1"/>
  <c r="N57" i="13" s="1"/>
  <c r="N58" i="13" s="1"/>
  <c r="N59" i="13" s="1"/>
  <c r="O43" i="13"/>
  <c r="O44" i="13" s="1"/>
  <c r="O45" i="13" s="1"/>
  <c r="O46" i="13" s="1"/>
  <c r="O47" i="13" s="1"/>
  <c r="O48" i="13" s="1"/>
  <c r="O49" i="13" s="1"/>
  <c r="O50" i="13" s="1"/>
  <c r="O51" i="13" s="1"/>
  <c r="O52" i="13" s="1"/>
  <c r="O53" i="13" s="1"/>
  <c r="O54" i="13" s="1"/>
  <c r="O55" i="13" s="1"/>
  <c r="O56" i="13" s="1"/>
  <c r="O57" i="13" s="1"/>
  <c r="O58" i="13" s="1"/>
  <c r="O59" i="13" s="1"/>
  <c r="P43" i="13"/>
  <c r="P44" i="13" s="1"/>
  <c r="P45" i="13" s="1"/>
  <c r="P46" i="13" s="1"/>
  <c r="P47" i="13" s="1"/>
  <c r="P48" i="13" s="1"/>
  <c r="P49" i="13" s="1"/>
  <c r="P50" i="13" s="1"/>
  <c r="P51" i="13" s="1"/>
  <c r="P52" i="13" s="1"/>
  <c r="P53" i="13" s="1"/>
  <c r="P54" i="13" s="1"/>
  <c r="P55" i="13" s="1"/>
  <c r="P56" i="13" s="1"/>
  <c r="P57" i="13" s="1"/>
  <c r="P58" i="13" s="1"/>
  <c r="P59" i="13" s="1"/>
  <c r="Q43" i="13"/>
  <c r="Q44" i="13" s="1"/>
  <c r="Q45" i="13" s="1"/>
  <c r="Q46" i="13" s="1"/>
  <c r="Q47" i="13" s="1"/>
  <c r="Q48" i="13" s="1"/>
  <c r="Q49" i="13" s="1"/>
  <c r="Q50" i="13" s="1"/>
  <c r="Q51" i="13" s="1"/>
  <c r="Q52" i="13" s="1"/>
  <c r="Q53" i="13" s="1"/>
  <c r="Q54" i="13" s="1"/>
  <c r="Q55" i="13" s="1"/>
  <c r="Q56" i="13" s="1"/>
  <c r="Q57" i="13" s="1"/>
  <c r="Q58" i="13" s="1"/>
  <c r="Q59" i="13" s="1"/>
  <c r="E43" i="13"/>
  <c r="E44" i="13" s="1"/>
  <c r="E45" i="13" s="1"/>
  <c r="E46" i="13" s="1"/>
  <c r="E47" i="13" s="1"/>
  <c r="E48" i="13" s="1"/>
  <c r="E49" i="13" s="1"/>
  <c r="E50" i="13" s="1"/>
  <c r="E51" i="13" s="1"/>
  <c r="E52" i="13" s="1"/>
  <c r="E53" i="13" s="1"/>
  <c r="E54" i="13" s="1"/>
  <c r="E55" i="13" s="1"/>
  <c r="E56" i="13" s="1"/>
  <c r="E57" i="13" s="1"/>
  <c r="E58" i="13" s="1"/>
  <c r="E59" i="13" s="1"/>
  <c r="F43" i="13"/>
  <c r="F44" i="13" s="1"/>
  <c r="F45" i="13" s="1"/>
  <c r="F46" i="13" s="1"/>
  <c r="F47" i="13" s="1"/>
  <c r="F48" i="13" s="1"/>
  <c r="F49" i="13" s="1"/>
  <c r="F50" i="13" s="1"/>
  <c r="F51" i="13" s="1"/>
  <c r="F52" i="13" s="1"/>
  <c r="F53" i="13" s="1"/>
  <c r="F54" i="13" s="1"/>
  <c r="F55" i="13" s="1"/>
  <c r="F56" i="13" s="1"/>
  <c r="F57" i="13" s="1"/>
  <c r="F58" i="13" s="1"/>
  <c r="F59" i="13" s="1"/>
  <c r="G43" i="13"/>
  <c r="G44" i="13" s="1"/>
  <c r="G45" i="13" s="1"/>
  <c r="G46" i="13" s="1"/>
  <c r="G47" i="13" s="1"/>
  <c r="G48" i="13" s="1"/>
  <c r="G49" i="13" s="1"/>
  <c r="G50" i="13" s="1"/>
  <c r="G51" i="13" s="1"/>
  <c r="G52" i="13" s="1"/>
  <c r="G53" i="13" s="1"/>
  <c r="G54" i="13" s="1"/>
  <c r="G55" i="13" s="1"/>
  <c r="G56" i="13" s="1"/>
  <c r="G57" i="13" s="1"/>
  <c r="G58" i="13" s="1"/>
  <c r="G59" i="13" s="1"/>
  <c r="H43" i="13"/>
  <c r="H44" i="13" s="1"/>
  <c r="H45" i="13" s="1"/>
  <c r="H46" i="13" s="1"/>
  <c r="H47" i="13" s="1"/>
  <c r="H48" i="13" s="1"/>
  <c r="H49" i="13" s="1"/>
  <c r="H50" i="13" s="1"/>
  <c r="H51" i="13" s="1"/>
  <c r="H52" i="13" s="1"/>
  <c r="H53" i="13" s="1"/>
  <c r="H54" i="13" s="1"/>
  <c r="H55" i="13" s="1"/>
  <c r="H56" i="13" s="1"/>
  <c r="H57" i="13" s="1"/>
  <c r="H58" i="13" s="1"/>
  <c r="H59" i="13" s="1"/>
  <c r="I43" i="13"/>
  <c r="I44" i="13" s="1"/>
  <c r="I45" i="13" s="1"/>
  <c r="I46" i="13" s="1"/>
  <c r="I47" i="13" s="1"/>
  <c r="I48" i="13" s="1"/>
  <c r="I49" i="13" s="1"/>
  <c r="I50" i="13" s="1"/>
  <c r="I51" i="13" s="1"/>
  <c r="I52" i="13" s="1"/>
  <c r="I53" i="13" s="1"/>
  <c r="I54" i="13" s="1"/>
  <c r="I55" i="13" s="1"/>
  <c r="I56" i="13" s="1"/>
  <c r="I57" i="13" s="1"/>
  <c r="I58" i="13" s="1"/>
  <c r="I59" i="13" s="1"/>
  <c r="AC5" i="13"/>
  <c r="AD5" i="13"/>
  <c r="AE5" i="13"/>
  <c r="AF5" i="13"/>
  <c r="AG5" i="13"/>
  <c r="AC6" i="13"/>
  <c r="AD6" i="13"/>
  <c r="AE6" i="13"/>
  <c r="AF6" i="13"/>
  <c r="AG6" i="13"/>
  <c r="AC7" i="13"/>
  <c r="AD7" i="13"/>
  <c r="AE7" i="13"/>
  <c r="AF7" i="13"/>
  <c r="AG7" i="13"/>
  <c r="AC8" i="13"/>
  <c r="AD8" i="13"/>
  <c r="AE8" i="13"/>
  <c r="AF8" i="13"/>
  <c r="AG8" i="13"/>
  <c r="AC9" i="13"/>
  <c r="AD9" i="13"/>
  <c r="AE9" i="13"/>
  <c r="AF9" i="13"/>
  <c r="AG9" i="13"/>
  <c r="AC10" i="13"/>
  <c r="AD10" i="13"/>
  <c r="AE10" i="13"/>
  <c r="AF10" i="13"/>
  <c r="AG10" i="13"/>
  <c r="AC11" i="13"/>
  <c r="AD11" i="13"/>
  <c r="AE11" i="13"/>
  <c r="AF11" i="13"/>
  <c r="AG11" i="13"/>
  <c r="AC12" i="13"/>
  <c r="AD12" i="13"/>
  <c r="AE12" i="13"/>
  <c r="AF12" i="13"/>
  <c r="AG12" i="13"/>
  <c r="AC13" i="13"/>
  <c r="AD13" i="13"/>
  <c r="AE13" i="13"/>
  <c r="AF13" i="13"/>
  <c r="AG13" i="13"/>
  <c r="AC14" i="13"/>
  <c r="AD14" i="13"/>
  <c r="AE14" i="13"/>
  <c r="AF14" i="13"/>
  <c r="AG14" i="13"/>
  <c r="AC15" i="13"/>
  <c r="AD15" i="13"/>
  <c r="AE15" i="13"/>
  <c r="AF15" i="13"/>
  <c r="AG15" i="13"/>
  <c r="AC16" i="13"/>
  <c r="AD16" i="13"/>
  <c r="AE16" i="13"/>
  <c r="AF16" i="13"/>
  <c r="AG16" i="13"/>
  <c r="AC17" i="13"/>
  <c r="AD17" i="13"/>
  <c r="AE17" i="13"/>
  <c r="AF17" i="13"/>
  <c r="AG17" i="13"/>
  <c r="AC18" i="13"/>
  <c r="AD18" i="13"/>
  <c r="AE18" i="13"/>
  <c r="AF18" i="13"/>
  <c r="AG18" i="13"/>
  <c r="AC19" i="13"/>
  <c r="AD19" i="13"/>
  <c r="AE19" i="13"/>
  <c r="AF19" i="13"/>
  <c r="AG19" i="13"/>
  <c r="AC20" i="13"/>
  <c r="AD20" i="13"/>
  <c r="AE20" i="13"/>
  <c r="AF20" i="13"/>
  <c r="AG20" i="13"/>
  <c r="AC21" i="13"/>
  <c r="AD21" i="13"/>
  <c r="AE21" i="13"/>
  <c r="AF21" i="13"/>
  <c r="AG21" i="13"/>
  <c r="AB6" i="13"/>
  <c r="AB7" i="13"/>
  <c r="AB8" i="13"/>
  <c r="AB9" i="13"/>
  <c r="AB10" i="13"/>
  <c r="AB11" i="13"/>
  <c r="AB12" i="13"/>
  <c r="AB13" i="13"/>
  <c r="AB14" i="13"/>
  <c r="AB15" i="13"/>
  <c r="AB16" i="13"/>
  <c r="AB17" i="13"/>
  <c r="AB18" i="13"/>
  <c r="AB19" i="13"/>
  <c r="AB20" i="13"/>
  <c r="AB21" i="13"/>
  <c r="AB5" i="13"/>
  <c r="U5" i="13"/>
  <c r="V5" i="13"/>
  <c r="W5" i="13"/>
  <c r="X5" i="13"/>
  <c r="Y5" i="13"/>
  <c r="U6" i="13"/>
  <c r="V6" i="13"/>
  <c r="W6" i="13"/>
  <c r="X6" i="13"/>
  <c r="Y6" i="13"/>
  <c r="U7" i="13"/>
  <c r="V7" i="13"/>
  <c r="W7" i="13"/>
  <c r="X7" i="13"/>
  <c r="Y7" i="13"/>
  <c r="U8" i="13"/>
  <c r="V8" i="13"/>
  <c r="W8" i="13"/>
  <c r="X8" i="13"/>
  <c r="Y8" i="13"/>
  <c r="U9" i="13"/>
  <c r="V9" i="13"/>
  <c r="W9" i="13"/>
  <c r="X9" i="13"/>
  <c r="Y9" i="13"/>
  <c r="U10" i="13"/>
  <c r="V10" i="13"/>
  <c r="W10" i="13"/>
  <c r="X10" i="13"/>
  <c r="Y10" i="13"/>
  <c r="U11" i="13"/>
  <c r="V11" i="13"/>
  <c r="W11" i="13"/>
  <c r="X11" i="13"/>
  <c r="Y11" i="13"/>
  <c r="U12" i="13"/>
  <c r="V12" i="13"/>
  <c r="W12" i="13"/>
  <c r="X12" i="13"/>
  <c r="Y12" i="13"/>
  <c r="U13" i="13"/>
  <c r="V13" i="13"/>
  <c r="W13" i="13"/>
  <c r="X13" i="13"/>
  <c r="Y13" i="13"/>
  <c r="U14" i="13"/>
  <c r="V14" i="13"/>
  <c r="W14" i="13"/>
  <c r="X14" i="13"/>
  <c r="Y14" i="13"/>
  <c r="U15" i="13"/>
  <c r="V15" i="13"/>
  <c r="W15" i="13"/>
  <c r="X15" i="13"/>
  <c r="Y15" i="13"/>
  <c r="U16" i="13"/>
  <c r="V16" i="13"/>
  <c r="W16" i="13"/>
  <c r="X16" i="13"/>
  <c r="Y16" i="13"/>
  <c r="U17" i="13"/>
  <c r="V17" i="13"/>
  <c r="W17" i="13"/>
  <c r="X17" i="13"/>
  <c r="Y17" i="13"/>
  <c r="U18" i="13"/>
  <c r="V18" i="13"/>
  <c r="W18" i="13"/>
  <c r="X18" i="13"/>
  <c r="Y18" i="13"/>
  <c r="U19" i="13"/>
  <c r="V19" i="13"/>
  <c r="W19" i="13"/>
  <c r="X19" i="13"/>
  <c r="Y19" i="13"/>
  <c r="U20" i="13"/>
  <c r="V20" i="13"/>
  <c r="W20" i="13"/>
  <c r="X20" i="13"/>
  <c r="Y20" i="13"/>
  <c r="U21" i="13"/>
  <c r="V21" i="13"/>
  <c r="W21" i="13"/>
  <c r="X21" i="13"/>
  <c r="Y21" i="13"/>
  <c r="T6" i="13"/>
  <c r="T7" i="13"/>
  <c r="T8" i="13"/>
  <c r="T9" i="13"/>
  <c r="T10" i="13"/>
  <c r="T11" i="13"/>
  <c r="T12" i="13"/>
  <c r="T13" i="13"/>
  <c r="T14" i="13"/>
  <c r="T15" i="13"/>
  <c r="T16" i="13"/>
  <c r="T17" i="13"/>
  <c r="T18" i="13"/>
  <c r="T19" i="13"/>
  <c r="T20" i="13"/>
  <c r="T21" i="13"/>
  <c r="T5" i="13"/>
  <c r="M5" i="13"/>
  <c r="N5" i="13"/>
  <c r="O5" i="13"/>
  <c r="P5" i="13"/>
  <c r="Q5" i="13"/>
  <c r="M6" i="13"/>
  <c r="N6" i="13"/>
  <c r="O6" i="13"/>
  <c r="P6" i="13"/>
  <c r="Q6" i="13"/>
  <c r="M7" i="13"/>
  <c r="N7" i="13"/>
  <c r="O7" i="13"/>
  <c r="P7" i="13"/>
  <c r="Q7" i="13"/>
  <c r="M8" i="13"/>
  <c r="N8" i="13"/>
  <c r="O8" i="13"/>
  <c r="P8" i="13"/>
  <c r="Q8" i="13"/>
  <c r="M9" i="13"/>
  <c r="N9" i="13"/>
  <c r="O9" i="13"/>
  <c r="P9" i="13"/>
  <c r="Q9" i="13"/>
  <c r="M10" i="13"/>
  <c r="N10" i="13"/>
  <c r="O10" i="13"/>
  <c r="P10" i="13"/>
  <c r="Q10" i="13"/>
  <c r="M11" i="13"/>
  <c r="N11" i="13"/>
  <c r="O11" i="13"/>
  <c r="P11" i="13"/>
  <c r="Q11" i="13"/>
  <c r="M12" i="13"/>
  <c r="N12" i="13"/>
  <c r="O12" i="13"/>
  <c r="P12" i="13"/>
  <c r="Q12" i="13"/>
  <c r="M13" i="13"/>
  <c r="N13" i="13"/>
  <c r="O13" i="13"/>
  <c r="P13" i="13"/>
  <c r="Q13" i="13"/>
  <c r="M14" i="13"/>
  <c r="N14" i="13"/>
  <c r="O14" i="13"/>
  <c r="P14" i="13"/>
  <c r="Q14" i="13"/>
  <c r="M15" i="13"/>
  <c r="N15" i="13"/>
  <c r="O15" i="13"/>
  <c r="P15" i="13"/>
  <c r="Q15" i="13"/>
  <c r="M16" i="13"/>
  <c r="N16" i="13"/>
  <c r="O16" i="13"/>
  <c r="P16" i="13"/>
  <c r="Q16" i="13"/>
  <c r="M17" i="13"/>
  <c r="N17" i="13"/>
  <c r="O17" i="13"/>
  <c r="P17" i="13"/>
  <c r="Q17" i="13"/>
  <c r="M18" i="13"/>
  <c r="N18" i="13"/>
  <c r="O18" i="13"/>
  <c r="P18" i="13"/>
  <c r="Q18" i="13"/>
  <c r="M19" i="13"/>
  <c r="N19" i="13"/>
  <c r="O19" i="13"/>
  <c r="P19" i="13"/>
  <c r="Q19" i="13"/>
  <c r="M20" i="13"/>
  <c r="N20" i="13"/>
  <c r="O20" i="13"/>
  <c r="P20" i="13"/>
  <c r="Q20" i="13"/>
  <c r="M21" i="13"/>
  <c r="N21" i="13"/>
  <c r="O21" i="13"/>
  <c r="P21" i="13"/>
  <c r="Q21" i="13"/>
  <c r="L6" i="13"/>
  <c r="L7" i="13"/>
  <c r="L8" i="13"/>
  <c r="L9" i="13"/>
  <c r="L10" i="13"/>
  <c r="L11" i="13"/>
  <c r="L12" i="13"/>
  <c r="L13" i="13"/>
  <c r="L14" i="13"/>
  <c r="L15" i="13"/>
  <c r="L16" i="13"/>
  <c r="L17" i="13"/>
  <c r="L18" i="13"/>
  <c r="L19" i="13"/>
  <c r="L20" i="13"/>
  <c r="L21" i="13"/>
  <c r="L5" i="13"/>
  <c r="F145" i="13"/>
  <c r="D145" i="13"/>
  <c r="E138" i="13"/>
  <c r="F138" i="13"/>
  <c r="G138" i="13"/>
  <c r="H138" i="13"/>
  <c r="I138" i="13"/>
  <c r="E139" i="13"/>
  <c r="F139" i="13"/>
  <c r="G139" i="13"/>
  <c r="H139" i="13"/>
  <c r="I139" i="13"/>
  <c r="E140" i="13"/>
  <c r="F140" i="13"/>
  <c r="G140" i="13"/>
  <c r="H140" i="13"/>
  <c r="I140" i="13"/>
  <c r="E141" i="13"/>
  <c r="F141" i="13"/>
  <c r="G141" i="13"/>
  <c r="H141" i="13"/>
  <c r="I141" i="13"/>
  <c r="E142" i="13"/>
  <c r="F142" i="13"/>
  <c r="G142" i="13"/>
  <c r="H142" i="13"/>
  <c r="I142" i="13"/>
  <c r="E143" i="13"/>
  <c r="F143" i="13"/>
  <c r="G143" i="13"/>
  <c r="H143" i="13"/>
  <c r="I143" i="13"/>
  <c r="E144" i="13"/>
  <c r="F144" i="13"/>
  <c r="G144" i="13"/>
  <c r="H144" i="13"/>
  <c r="I144" i="13"/>
  <c r="E145" i="13"/>
  <c r="G145" i="13"/>
  <c r="H145" i="13"/>
  <c r="I145" i="13"/>
  <c r="E146" i="13"/>
  <c r="F146" i="13"/>
  <c r="G146" i="13"/>
  <c r="H146" i="13"/>
  <c r="I146" i="13"/>
  <c r="E147" i="13"/>
  <c r="F147" i="13"/>
  <c r="G147" i="13"/>
  <c r="H147" i="13"/>
  <c r="I147" i="13"/>
  <c r="E148" i="13"/>
  <c r="F148" i="13"/>
  <c r="G148" i="13"/>
  <c r="H148" i="13"/>
  <c r="I148" i="13"/>
  <c r="E149" i="13"/>
  <c r="F149" i="13"/>
  <c r="G149" i="13"/>
  <c r="H149" i="13"/>
  <c r="I149" i="13"/>
  <c r="E150" i="13"/>
  <c r="F150" i="13"/>
  <c r="G150" i="13"/>
  <c r="H150" i="13"/>
  <c r="I150" i="13"/>
  <c r="E151" i="13"/>
  <c r="F151" i="13"/>
  <c r="G151" i="13"/>
  <c r="H151" i="13"/>
  <c r="I151" i="13"/>
  <c r="E152" i="13"/>
  <c r="F152" i="13"/>
  <c r="G152" i="13"/>
  <c r="H152" i="13"/>
  <c r="I152" i="13"/>
  <c r="E153" i="13"/>
  <c r="F153" i="13"/>
  <c r="G153" i="13"/>
  <c r="H153" i="13"/>
  <c r="I153" i="13"/>
  <c r="E154" i="13"/>
  <c r="F154" i="13"/>
  <c r="G154" i="13"/>
  <c r="H154" i="13"/>
  <c r="I154" i="13"/>
  <c r="D138" i="13"/>
  <c r="D139" i="13"/>
  <c r="D140" i="13"/>
  <c r="D141" i="13"/>
  <c r="D142" i="13"/>
  <c r="D143" i="13"/>
  <c r="D144" i="13"/>
  <c r="D146" i="13"/>
  <c r="P143" i="13"/>
  <c r="AC42" i="13"/>
  <c r="AD42" i="13"/>
  <c r="AE42" i="13"/>
  <c r="AF42" i="13"/>
  <c r="AG42" i="13"/>
  <c r="AB42" i="13"/>
  <c r="U42" i="13"/>
  <c r="V42" i="13"/>
  <c r="W42" i="13"/>
  <c r="X42" i="13"/>
  <c r="Y42" i="13"/>
  <c r="T42" i="13"/>
  <c r="T99" i="13" s="1"/>
  <c r="M42" i="13"/>
  <c r="N42" i="13"/>
  <c r="O42" i="13"/>
  <c r="P42" i="13"/>
  <c r="Q42" i="13"/>
  <c r="L42" i="13"/>
  <c r="L99" i="13" s="1"/>
  <c r="Q3" i="3"/>
  <c r="H32" i="1"/>
  <c r="G16" i="1"/>
  <c r="T38" i="8"/>
  <c r="I43" i="8"/>
  <c r="D61" i="13"/>
  <c r="C4" i="11"/>
  <c r="D4" i="11"/>
  <c r="E4" i="11"/>
  <c r="H4" i="11"/>
  <c r="I4" i="11"/>
  <c r="J4" i="11"/>
  <c r="K4" i="11"/>
  <c r="N4" i="11"/>
  <c r="O4" i="11"/>
  <c r="P4" i="11"/>
  <c r="Q4" i="11"/>
  <c r="C5" i="11"/>
  <c r="D5" i="11"/>
  <c r="E5" i="11"/>
  <c r="H5" i="11"/>
  <c r="I5" i="11"/>
  <c r="J5" i="11"/>
  <c r="K5" i="11"/>
  <c r="N5" i="11"/>
  <c r="O5" i="11"/>
  <c r="P5" i="11"/>
  <c r="Q5" i="11"/>
  <c r="C6" i="11"/>
  <c r="D6" i="11"/>
  <c r="E6" i="11"/>
  <c r="H6" i="11"/>
  <c r="I6" i="11"/>
  <c r="J6" i="11"/>
  <c r="K6" i="11"/>
  <c r="N6" i="11"/>
  <c r="O6" i="11"/>
  <c r="P6" i="11"/>
  <c r="Q6" i="11"/>
  <c r="C7" i="11"/>
  <c r="D7" i="11"/>
  <c r="E7" i="11"/>
  <c r="H7" i="11"/>
  <c r="I7" i="11"/>
  <c r="J7" i="11"/>
  <c r="K7" i="11"/>
  <c r="N7" i="11"/>
  <c r="O7" i="11"/>
  <c r="P7" i="11"/>
  <c r="Q7" i="11"/>
  <c r="C8" i="11"/>
  <c r="D8" i="11"/>
  <c r="E8" i="11"/>
  <c r="H8" i="11"/>
  <c r="I8" i="11"/>
  <c r="J8" i="11"/>
  <c r="K8" i="11"/>
  <c r="N8" i="11"/>
  <c r="O8" i="11"/>
  <c r="P8" i="11"/>
  <c r="Q8" i="11"/>
  <c r="C9" i="11"/>
  <c r="D9" i="11"/>
  <c r="E9" i="11"/>
  <c r="H9" i="11"/>
  <c r="I9" i="11"/>
  <c r="J9" i="11"/>
  <c r="K9" i="11"/>
  <c r="N9" i="11"/>
  <c r="O9" i="11"/>
  <c r="P9" i="11"/>
  <c r="Q9" i="11"/>
  <c r="C10" i="11"/>
  <c r="D10" i="11"/>
  <c r="E10" i="11"/>
  <c r="H10" i="11"/>
  <c r="I10" i="11"/>
  <c r="J10" i="11"/>
  <c r="K10" i="11"/>
  <c r="N10" i="11"/>
  <c r="O10" i="11"/>
  <c r="P10" i="11"/>
  <c r="Q10" i="11"/>
  <c r="C11" i="11"/>
  <c r="D11" i="11"/>
  <c r="E11" i="11"/>
  <c r="H11" i="11"/>
  <c r="I11" i="11"/>
  <c r="J11" i="11"/>
  <c r="K11" i="11"/>
  <c r="N11" i="11"/>
  <c r="O11" i="11"/>
  <c r="P11" i="11"/>
  <c r="Q11" i="11"/>
  <c r="C12" i="11"/>
  <c r="D12" i="11"/>
  <c r="E12" i="11"/>
  <c r="H12" i="11"/>
  <c r="I12" i="11"/>
  <c r="J12" i="11"/>
  <c r="K12" i="11"/>
  <c r="N12" i="11"/>
  <c r="O12" i="11"/>
  <c r="P12" i="11"/>
  <c r="Q12" i="11"/>
  <c r="B5" i="11"/>
  <c r="B6" i="11"/>
  <c r="B7" i="11"/>
  <c r="B8" i="11"/>
  <c r="B9" i="11"/>
  <c r="B10" i="11"/>
  <c r="B11" i="11"/>
  <c r="B12" i="11"/>
  <c r="B4" i="11"/>
  <c r="AC137" i="13"/>
  <c r="AD137" i="13"/>
  <c r="AE137" i="13"/>
  <c r="AF137" i="13"/>
  <c r="AG137" i="13"/>
  <c r="U137" i="13"/>
  <c r="V137" i="13"/>
  <c r="W137" i="13"/>
  <c r="X137" i="13"/>
  <c r="Y137" i="13"/>
  <c r="M137" i="13"/>
  <c r="N137" i="13"/>
  <c r="O137" i="13"/>
  <c r="P137" i="13"/>
  <c r="Q137" i="13"/>
  <c r="AB137" i="13"/>
  <c r="T137" i="13"/>
  <c r="L137" i="13"/>
  <c r="D137" i="13"/>
  <c r="AC61" i="13"/>
  <c r="AD61" i="13"/>
  <c r="AE61" i="13"/>
  <c r="AF61" i="13"/>
  <c r="AG61" i="13"/>
  <c r="U61" i="13"/>
  <c r="V61" i="13"/>
  <c r="W61" i="13"/>
  <c r="X61" i="13"/>
  <c r="Y61" i="13"/>
  <c r="AB61" i="13"/>
  <c r="T61" i="13"/>
  <c r="L61" i="13"/>
  <c r="M61" i="13"/>
  <c r="N61" i="13"/>
  <c r="O61" i="13"/>
  <c r="P61" i="13"/>
  <c r="Q61" i="13"/>
  <c r="AC23" i="13"/>
  <c r="AD23" i="13"/>
  <c r="AE23" i="13"/>
  <c r="AF23" i="13"/>
  <c r="AG23" i="13"/>
  <c r="U23" i="13"/>
  <c r="V23" i="13"/>
  <c r="W23" i="13"/>
  <c r="X23" i="13"/>
  <c r="Y23" i="13"/>
  <c r="AB23" i="13"/>
  <c r="T23" i="13"/>
  <c r="D23" i="13"/>
  <c r="B11" i="13"/>
  <c r="B12" i="13"/>
  <c r="B13" i="13"/>
  <c r="E23" i="13"/>
  <c r="F23" i="13"/>
  <c r="G23" i="13"/>
  <c r="H23" i="13"/>
  <c r="I23" i="13"/>
  <c r="E61" i="13"/>
  <c r="F61" i="13"/>
  <c r="G61" i="13"/>
  <c r="H61" i="13"/>
  <c r="I61" i="13"/>
  <c r="E137" i="13"/>
  <c r="F137" i="13"/>
  <c r="G137" i="13"/>
  <c r="H137" i="13"/>
  <c r="I137" i="13"/>
  <c r="P20" i="11"/>
  <c r="T22" i="8"/>
  <c r="B13" i="11"/>
  <c r="S4" i="3"/>
  <c r="S5" i="3"/>
  <c r="S6" i="3"/>
  <c r="S7" i="3"/>
  <c r="S8" i="3"/>
  <c r="S3" i="3"/>
  <c r="C45" i="1"/>
  <c r="D45" i="1"/>
  <c r="E45" i="1"/>
  <c r="F45" i="1"/>
  <c r="G45" i="1"/>
  <c r="B20" i="11"/>
  <c r="B43" i="2"/>
  <c r="O13" i="11"/>
  <c r="P13" i="11"/>
  <c r="Q13" i="11"/>
  <c r="O14" i="11"/>
  <c r="P14" i="11"/>
  <c r="Q14" i="11"/>
  <c r="O15" i="11"/>
  <c r="P15" i="11"/>
  <c r="Q15" i="11"/>
  <c r="O16" i="11"/>
  <c r="P16" i="11"/>
  <c r="Q16" i="11"/>
  <c r="O17" i="11"/>
  <c r="P17" i="11"/>
  <c r="Q17" i="11"/>
  <c r="O18" i="11"/>
  <c r="P18" i="11"/>
  <c r="Q18" i="11"/>
  <c r="O19" i="11"/>
  <c r="P19" i="11"/>
  <c r="Q19" i="11"/>
  <c r="O20" i="11"/>
  <c r="Q20" i="11"/>
  <c r="N14" i="11"/>
  <c r="N15" i="11"/>
  <c r="N16" i="11"/>
  <c r="N17" i="11"/>
  <c r="N18" i="11"/>
  <c r="N19" i="11"/>
  <c r="N20" i="11"/>
  <c r="N13" i="11"/>
  <c r="R8" i="3"/>
  <c r="R3" i="3"/>
  <c r="R4" i="3"/>
  <c r="R5" i="3"/>
  <c r="R6" i="3"/>
  <c r="R7" i="3"/>
  <c r="Q4" i="3"/>
  <c r="Q5" i="3"/>
  <c r="Q6" i="3"/>
  <c r="Q7" i="3"/>
  <c r="Q8" i="3"/>
  <c r="I13" i="11"/>
  <c r="J13" i="11"/>
  <c r="K13" i="11"/>
  <c r="I14" i="11"/>
  <c r="J14" i="11"/>
  <c r="K14" i="11"/>
  <c r="I15" i="11"/>
  <c r="J15" i="11"/>
  <c r="K15" i="11"/>
  <c r="I16" i="11"/>
  <c r="J16" i="11"/>
  <c r="K16" i="11"/>
  <c r="I17" i="11"/>
  <c r="J17" i="11"/>
  <c r="K17" i="11"/>
  <c r="I18" i="11"/>
  <c r="J18" i="11"/>
  <c r="K18" i="11"/>
  <c r="I19" i="11"/>
  <c r="J19" i="11"/>
  <c r="K19" i="11"/>
  <c r="I20" i="11"/>
  <c r="J20" i="11"/>
  <c r="K20" i="11"/>
  <c r="H14" i="11"/>
  <c r="H15" i="11"/>
  <c r="H16" i="11"/>
  <c r="H17" i="11"/>
  <c r="H18" i="11"/>
  <c r="H19" i="11"/>
  <c r="H20" i="11"/>
  <c r="H13" i="11"/>
  <c r="C13" i="11"/>
  <c r="D13" i="11"/>
  <c r="E13" i="11"/>
  <c r="C14" i="11"/>
  <c r="D14" i="11"/>
  <c r="E14" i="11"/>
  <c r="C15" i="11"/>
  <c r="D15" i="11"/>
  <c r="E15" i="11"/>
  <c r="C16" i="11"/>
  <c r="D16" i="11"/>
  <c r="E16" i="11"/>
  <c r="C17" i="11"/>
  <c r="D17" i="11"/>
  <c r="E17" i="11"/>
  <c r="C18" i="11"/>
  <c r="D18" i="11"/>
  <c r="E18" i="11"/>
  <c r="C19" i="11"/>
  <c r="D19" i="11"/>
  <c r="E19" i="11"/>
  <c r="C20" i="11"/>
  <c r="D20" i="11"/>
  <c r="E20" i="11"/>
  <c r="B14" i="11"/>
  <c r="B15" i="11"/>
  <c r="B16" i="11"/>
  <c r="B17" i="11"/>
  <c r="B18" i="11"/>
  <c r="B19" i="11"/>
  <c r="Q22" i="8"/>
  <c r="R22" i="8"/>
  <c r="Q23" i="8"/>
  <c r="R23" i="8"/>
  <c r="Q24" i="8"/>
  <c r="R24" i="8"/>
  <c r="Q25" i="8"/>
  <c r="R25" i="8"/>
  <c r="Q26" i="8"/>
  <c r="R26" i="8"/>
  <c r="Q27" i="8"/>
  <c r="R27" i="8"/>
  <c r="Q28" i="8"/>
  <c r="R28" i="8"/>
  <c r="Q29" i="8"/>
  <c r="R29" i="8"/>
  <c r="Q30" i="8"/>
  <c r="R30" i="8"/>
  <c r="P23" i="8"/>
  <c r="P24" i="8"/>
  <c r="P25" i="8"/>
  <c r="P26" i="8"/>
  <c r="P27" i="8"/>
  <c r="P28" i="8"/>
  <c r="P29" i="8"/>
  <c r="P30" i="8"/>
  <c r="P22" i="8"/>
  <c r="M22" i="8"/>
  <c r="N22" i="8"/>
  <c r="M23" i="8"/>
  <c r="N23" i="8"/>
  <c r="M24" i="8"/>
  <c r="N24" i="8"/>
  <c r="M25" i="8"/>
  <c r="N25" i="8"/>
  <c r="M26" i="8"/>
  <c r="N26" i="8"/>
  <c r="M27" i="8"/>
  <c r="N27" i="8"/>
  <c r="M28" i="8"/>
  <c r="N28" i="8"/>
  <c r="M29" i="8"/>
  <c r="N29" i="8"/>
  <c r="M30" i="8"/>
  <c r="N30" i="8"/>
  <c r="L23" i="8"/>
  <c r="L24" i="8"/>
  <c r="L25" i="8"/>
  <c r="L26" i="8"/>
  <c r="L27" i="8"/>
  <c r="L28" i="8"/>
  <c r="L29" i="8"/>
  <c r="L30" i="8"/>
  <c r="L22" i="8"/>
  <c r="I22" i="8"/>
  <c r="J22" i="8"/>
  <c r="I23" i="8"/>
  <c r="J23" i="8"/>
  <c r="I24" i="8"/>
  <c r="J24" i="8"/>
  <c r="I25" i="8"/>
  <c r="J25" i="8"/>
  <c r="I26" i="8"/>
  <c r="J26" i="8"/>
  <c r="I27" i="8"/>
  <c r="J27" i="8"/>
  <c r="I28" i="8"/>
  <c r="J28" i="8"/>
  <c r="I29" i="8"/>
  <c r="J29" i="8"/>
  <c r="I30" i="8"/>
  <c r="J30" i="8"/>
  <c r="H23" i="8"/>
  <c r="H24" i="8"/>
  <c r="H25" i="8"/>
  <c r="H26" i="8"/>
  <c r="H27" i="8"/>
  <c r="H28" i="8"/>
  <c r="H29" i="8"/>
  <c r="H30" i="8"/>
  <c r="H22" i="8"/>
  <c r="E22" i="8"/>
  <c r="F22" i="8"/>
  <c r="E23" i="8"/>
  <c r="F23" i="8"/>
  <c r="E24" i="8"/>
  <c r="F24" i="8"/>
  <c r="E25" i="8"/>
  <c r="F25" i="8"/>
  <c r="E26" i="8"/>
  <c r="F26" i="8"/>
  <c r="E27" i="8"/>
  <c r="F27" i="8"/>
  <c r="E28" i="8"/>
  <c r="F28" i="8"/>
  <c r="E29" i="8"/>
  <c r="F29" i="8"/>
  <c r="E30" i="8"/>
  <c r="F30" i="8"/>
  <c r="D23" i="8"/>
  <c r="D24" i="8"/>
  <c r="D25" i="8"/>
  <c r="D26" i="8"/>
  <c r="D27" i="8"/>
  <c r="D28" i="8"/>
  <c r="D29" i="8"/>
  <c r="D30" i="8"/>
  <c r="D22" i="8"/>
  <c r="E31" i="8"/>
  <c r="D31" i="8"/>
  <c r="U23" i="8"/>
  <c r="U22" i="8"/>
  <c r="V22" i="8"/>
  <c r="W22" i="8"/>
  <c r="V23" i="8"/>
  <c r="W23" i="8"/>
  <c r="U24" i="8"/>
  <c r="V24" i="8"/>
  <c r="W24" i="8"/>
  <c r="U25" i="8"/>
  <c r="V25" i="8"/>
  <c r="W25" i="8"/>
  <c r="U26" i="8"/>
  <c r="V26" i="8"/>
  <c r="W26" i="8"/>
  <c r="U27" i="8"/>
  <c r="V27" i="8"/>
  <c r="W27" i="8"/>
  <c r="U28" i="8"/>
  <c r="V28" i="8"/>
  <c r="W28" i="8"/>
  <c r="U29" i="8"/>
  <c r="V29" i="8"/>
  <c r="W29" i="8"/>
  <c r="U30" i="8"/>
  <c r="V30" i="8"/>
  <c r="W30" i="8"/>
  <c r="T23" i="8"/>
  <c r="T24" i="8"/>
  <c r="T25" i="8"/>
  <c r="T26" i="8"/>
  <c r="T27" i="8"/>
  <c r="T28" i="8"/>
  <c r="T29" i="8"/>
  <c r="T30" i="8"/>
  <c r="T31" i="8"/>
  <c r="W43" i="8"/>
  <c r="V43" i="8"/>
  <c r="U43" i="8"/>
  <c r="T43" i="8"/>
  <c r="W42" i="8"/>
  <c r="V42" i="8"/>
  <c r="U42" i="8"/>
  <c r="T42" i="8"/>
  <c r="W41" i="8"/>
  <c r="V41" i="8"/>
  <c r="U41" i="8"/>
  <c r="T41" i="8"/>
  <c r="W40" i="8"/>
  <c r="V40" i="8"/>
  <c r="U40" i="8"/>
  <c r="T40" i="8"/>
  <c r="W39" i="8"/>
  <c r="V39" i="8"/>
  <c r="U39" i="8"/>
  <c r="T39" i="8"/>
  <c r="W38" i="8"/>
  <c r="V38" i="8"/>
  <c r="U38" i="8"/>
  <c r="AD28" i="8"/>
  <c r="AD29" i="8" s="1"/>
  <c r="AC28" i="8"/>
  <c r="AC29" i="8" s="1"/>
  <c r="AB28" i="8"/>
  <c r="AB29" i="8" s="1"/>
  <c r="W37" i="8"/>
  <c r="V37" i="8"/>
  <c r="U37" i="8"/>
  <c r="T37" i="8"/>
  <c r="W36" i="8"/>
  <c r="V36" i="8"/>
  <c r="U36" i="8"/>
  <c r="T36" i="8"/>
  <c r="W35" i="8"/>
  <c r="V35" i="8"/>
  <c r="U35" i="8"/>
  <c r="T35" i="8"/>
  <c r="W34" i="8"/>
  <c r="V34" i="8"/>
  <c r="U34" i="8"/>
  <c r="T34" i="8"/>
  <c r="W33" i="8"/>
  <c r="V33" i="8"/>
  <c r="U33" i="8"/>
  <c r="T33" i="8"/>
  <c r="W32" i="8"/>
  <c r="V32" i="8"/>
  <c r="U32" i="8"/>
  <c r="T32" i="8"/>
  <c r="B32" i="8"/>
  <c r="B33" i="8" s="1"/>
  <c r="B34" i="8" s="1"/>
  <c r="B35" i="8" s="1"/>
  <c r="B36" i="8" s="1"/>
  <c r="B37" i="8" s="1"/>
  <c r="B38" i="8" s="1"/>
  <c r="B39" i="8" s="1"/>
  <c r="B40" i="8" s="1"/>
  <c r="B41" i="8" s="1"/>
  <c r="B42" i="8" s="1"/>
  <c r="B43" i="8" s="1"/>
  <c r="W31" i="8"/>
  <c r="V31" i="8"/>
  <c r="U31" i="8"/>
  <c r="W21" i="8"/>
  <c r="V21" i="8"/>
  <c r="U21" i="8"/>
  <c r="T21" i="8"/>
  <c r="R21" i="8"/>
  <c r="Q21" i="8"/>
  <c r="P21" i="8"/>
  <c r="N21" i="8"/>
  <c r="M21" i="8"/>
  <c r="L21" i="8"/>
  <c r="J21" i="8"/>
  <c r="I21" i="8"/>
  <c r="H21" i="8"/>
  <c r="F21" i="8"/>
  <c r="E21" i="8"/>
  <c r="D21" i="8"/>
  <c r="W20" i="8"/>
  <c r="V20" i="8"/>
  <c r="U20" i="8"/>
  <c r="T20" i="8"/>
  <c r="A8" i="9" a="1"/>
  <c r="A20" i="9" a="1"/>
  <c r="A14" i="9" a="1"/>
  <c r="H43" i="1"/>
  <c r="H42" i="1"/>
  <c r="H40" i="1"/>
  <c r="H41" i="1"/>
  <c r="H39" i="1"/>
  <c r="H38" i="1"/>
  <c r="H37" i="1"/>
  <c r="H36" i="1"/>
  <c r="H35" i="1"/>
  <c r="H34" i="1"/>
  <c r="H33" i="1"/>
  <c r="Y102" i="13" l="1"/>
  <c r="AG101" i="13"/>
  <c r="AD100" i="13"/>
  <c r="V100" i="13"/>
  <c r="U100" i="13"/>
  <c r="T43" i="13"/>
  <c r="T44" i="13" s="1"/>
  <c r="T45" i="13" s="1"/>
  <c r="T46" i="13" s="1"/>
  <c r="T47" i="13" s="1"/>
  <c r="T48" i="13" s="1"/>
  <c r="T49" i="13" s="1"/>
  <c r="T50" i="13" s="1"/>
  <c r="T51" i="13" s="1"/>
  <c r="T52" i="13" s="1"/>
  <c r="T53" i="13" s="1"/>
  <c r="T54" i="13" s="1"/>
  <c r="T55" i="13" s="1"/>
  <c r="T56" i="13" s="1"/>
  <c r="T57" i="13" s="1"/>
  <c r="T58" i="13" s="1"/>
  <c r="T59" i="13" s="1"/>
  <c r="T116" i="13" s="1"/>
  <c r="L43" i="13"/>
  <c r="L44" i="13" s="1"/>
  <c r="L45" i="13" s="1"/>
  <c r="L46" i="13" s="1"/>
  <c r="L47" i="13" s="1"/>
  <c r="L48" i="13" s="1"/>
  <c r="L49" i="13" s="1"/>
  <c r="L50" i="13" s="1"/>
  <c r="L51" i="13" s="1"/>
  <c r="L52" i="13" s="1"/>
  <c r="L53" i="13" s="1"/>
  <c r="L54" i="13" s="1"/>
  <c r="L55" i="13" s="1"/>
  <c r="L56" i="13" s="1"/>
  <c r="L57" i="13" s="1"/>
  <c r="L58" i="13" s="1"/>
  <c r="L59" i="13" s="1"/>
  <c r="L116" i="13" s="1"/>
  <c r="AB43" i="13"/>
  <c r="AB44" i="13" s="1"/>
  <c r="AB45" i="13" s="1"/>
  <c r="AB46" i="13" s="1"/>
  <c r="AB47" i="13" s="1"/>
  <c r="AB48" i="13" s="1"/>
  <c r="AB49" i="13" s="1"/>
  <c r="AB50" i="13" s="1"/>
  <c r="AB51" i="13" s="1"/>
  <c r="AB52" i="13" s="1"/>
  <c r="AB53" i="13" s="1"/>
  <c r="AB54" i="13" s="1"/>
  <c r="AB55" i="13" s="1"/>
  <c r="AB56" i="13" s="1"/>
  <c r="AB57" i="13" s="1"/>
  <c r="AB58" i="13" s="1"/>
  <c r="AB59" i="13" s="1"/>
  <c r="AB116" i="13" s="1"/>
  <c r="N104" i="13"/>
  <c r="O104" i="13"/>
  <c r="O106" i="13"/>
  <c r="M104" i="13"/>
  <c r="P101" i="13"/>
  <c r="P100" i="13"/>
  <c r="W100" i="13"/>
  <c r="AF101" i="13"/>
  <c r="AE100" i="13"/>
  <c r="M102" i="13"/>
  <c r="P106" i="13"/>
  <c r="X100" i="13"/>
  <c r="V102" i="13"/>
  <c r="Q100" i="13"/>
  <c r="V105" i="13"/>
  <c r="V101" i="13"/>
  <c r="Q108" i="13"/>
  <c r="Y100" i="13"/>
  <c r="AC104" i="13"/>
  <c r="AF100" i="13"/>
  <c r="AC100" i="13"/>
  <c r="AD111" i="13"/>
  <c r="U101" i="13"/>
  <c r="Q106" i="13"/>
  <c r="U108" i="13"/>
  <c r="V103" i="13"/>
  <c r="AD109" i="13"/>
  <c r="AG106" i="13"/>
  <c r="AC102" i="13"/>
  <c r="AE101" i="13"/>
  <c r="Q113" i="13"/>
  <c r="Q101" i="13"/>
  <c r="Y107" i="13"/>
  <c r="U103" i="13"/>
  <c r="AF106" i="13"/>
  <c r="AD104" i="13"/>
  <c r="M114" i="13"/>
  <c r="N109" i="13"/>
  <c r="Y112" i="13"/>
  <c r="AD116" i="13"/>
  <c r="AG113" i="13"/>
  <c r="AE111" i="13"/>
  <c r="AC109" i="13"/>
  <c r="AC114" i="13"/>
  <c r="W105" i="13"/>
  <c r="P113" i="13"/>
  <c r="U110" i="13"/>
  <c r="AC116" i="13"/>
  <c r="AG108" i="13"/>
  <c r="V115" i="13"/>
  <c r="AE116" i="13"/>
  <c r="M109" i="13"/>
  <c r="U115" i="13"/>
  <c r="M116" i="13"/>
  <c r="AF113" i="13"/>
  <c r="AE106" i="13"/>
  <c r="O116" i="13"/>
  <c r="O111" i="13"/>
  <c r="X112" i="13"/>
  <c r="N116" i="13"/>
  <c r="N111" i="13"/>
  <c r="Y114" i="13"/>
  <c r="P111" i="13"/>
  <c r="AF111" i="13"/>
  <c r="X107" i="13"/>
  <c r="W110" i="13"/>
  <c r="V110" i="13"/>
  <c r="W112" i="13"/>
  <c r="X105" i="13"/>
  <c r="AE104" i="13"/>
  <c r="Q115" i="13"/>
  <c r="O113" i="13"/>
  <c r="M111" i="13"/>
  <c r="P108" i="13"/>
  <c r="N106" i="13"/>
  <c r="Q103" i="13"/>
  <c r="O101" i="13"/>
  <c r="X114" i="13"/>
  <c r="V112" i="13"/>
  <c r="Y109" i="13"/>
  <c r="W107" i="13"/>
  <c r="U105" i="13"/>
  <c r="X102" i="13"/>
  <c r="AG115" i="13"/>
  <c r="AE113" i="13"/>
  <c r="AC111" i="13"/>
  <c r="AF108" i="13"/>
  <c r="AD106" i="13"/>
  <c r="AG103" i="13"/>
  <c r="P115" i="13"/>
  <c r="N113" i="13"/>
  <c r="Q110" i="13"/>
  <c r="O108" i="13"/>
  <c r="M106" i="13"/>
  <c r="P103" i="13"/>
  <c r="N101" i="13"/>
  <c r="Y116" i="13"/>
  <c r="W114" i="13"/>
  <c r="U112" i="13"/>
  <c r="X109" i="13"/>
  <c r="V107" i="13"/>
  <c r="Y104" i="13"/>
  <c r="W102" i="13"/>
  <c r="AF115" i="13"/>
  <c r="AD113" i="13"/>
  <c r="AG110" i="13"/>
  <c r="AE108" i="13"/>
  <c r="AC106" i="13"/>
  <c r="AF103" i="13"/>
  <c r="AD101" i="13"/>
  <c r="O115" i="13"/>
  <c r="M113" i="13"/>
  <c r="P110" i="13"/>
  <c r="N108" i="13"/>
  <c r="Q105" i="13"/>
  <c r="O103" i="13"/>
  <c r="M101" i="13"/>
  <c r="X116" i="13"/>
  <c r="V114" i="13"/>
  <c r="Y111" i="13"/>
  <c r="W109" i="13"/>
  <c r="U107" i="13"/>
  <c r="X104" i="13"/>
  <c r="AE115" i="13"/>
  <c r="AC113" i="13"/>
  <c r="AF110" i="13"/>
  <c r="AD108" i="13"/>
  <c r="AG105" i="13"/>
  <c r="AE103" i="13"/>
  <c r="AC101" i="13"/>
  <c r="L104" i="13"/>
  <c r="N115" i="13"/>
  <c r="Q112" i="13"/>
  <c r="O110" i="13"/>
  <c r="M108" i="13"/>
  <c r="P105" i="13"/>
  <c r="N103" i="13"/>
  <c r="W116" i="13"/>
  <c r="U114" i="13"/>
  <c r="X111" i="13"/>
  <c r="V109" i="13"/>
  <c r="Y106" i="13"/>
  <c r="W104" i="13"/>
  <c r="U102" i="13"/>
  <c r="AD115" i="13"/>
  <c r="AG112" i="13"/>
  <c r="AE110" i="13"/>
  <c r="AC108" i="13"/>
  <c r="AF105" i="13"/>
  <c r="AD103" i="13"/>
  <c r="AG100" i="13"/>
  <c r="M115" i="13"/>
  <c r="P112" i="13"/>
  <c r="N110" i="13"/>
  <c r="Q107" i="13"/>
  <c r="O105" i="13"/>
  <c r="M103" i="13"/>
  <c r="V116" i="13"/>
  <c r="Y113" i="13"/>
  <c r="W111" i="13"/>
  <c r="U109" i="13"/>
  <c r="X106" i="13"/>
  <c r="V104" i="13"/>
  <c r="Y101" i="13"/>
  <c r="AC115" i="13"/>
  <c r="AF112" i="13"/>
  <c r="AD110" i="13"/>
  <c r="AG107" i="13"/>
  <c r="AE105" i="13"/>
  <c r="AC103" i="13"/>
  <c r="Q114" i="13"/>
  <c r="O112" i="13"/>
  <c r="M110" i="13"/>
  <c r="P107" i="13"/>
  <c r="N105" i="13"/>
  <c r="Q102" i="13"/>
  <c r="O100" i="13"/>
  <c r="U116" i="13"/>
  <c r="X113" i="13"/>
  <c r="V111" i="13"/>
  <c r="Y108" i="13"/>
  <c r="W106" i="13"/>
  <c r="U104" i="13"/>
  <c r="X101" i="13"/>
  <c r="AG114" i="13"/>
  <c r="AE112" i="13"/>
  <c r="AC110" i="13"/>
  <c r="AF107" i="13"/>
  <c r="AD105" i="13"/>
  <c r="AG102" i="13"/>
  <c r="P114" i="13"/>
  <c r="N112" i="13"/>
  <c r="Q109" i="13"/>
  <c r="O107" i="13"/>
  <c r="M105" i="13"/>
  <c r="P102" i="13"/>
  <c r="N100" i="13"/>
  <c r="Y115" i="13"/>
  <c r="W113" i="13"/>
  <c r="U111" i="13"/>
  <c r="X108" i="13"/>
  <c r="V106" i="13"/>
  <c r="Y103" i="13"/>
  <c r="W101" i="13"/>
  <c r="AF114" i="13"/>
  <c r="AD112" i="13"/>
  <c r="AG109" i="13"/>
  <c r="AE107" i="13"/>
  <c r="AC105" i="13"/>
  <c r="AF102" i="13"/>
  <c r="Q116" i="13"/>
  <c r="O114" i="13"/>
  <c r="M112" i="13"/>
  <c r="P109" i="13"/>
  <c r="N107" i="13"/>
  <c r="Q104" i="13"/>
  <c r="O102" i="13"/>
  <c r="M100" i="13"/>
  <c r="X115" i="13"/>
  <c r="V113" i="13"/>
  <c r="Y110" i="13"/>
  <c r="W108" i="13"/>
  <c r="U106" i="13"/>
  <c r="X103" i="13"/>
  <c r="AG116" i="13"/>
  <c r="AE114" i="13"/>
  <c r="AC112" i="13"/>
  <c r="AF109" i="13"/>
  <c r="AD107" i="13"/>
  <c r="AG104" i="13"/>
  <c r="AE102" i="13"/>
  <c r="P116" i="13"/>
  <c r="N114" i="13"/>
  <c r="Q111" i="13"/>
  <c r="O109" i="13"/>
  <c r="M107" i="13"/>
  <c r="P104" i="13"/>
  <c r="N102" i="13"/>
  <c r="W115" i="13"/>
  <c r="U113" i="13"/>
  <c r="X110" i="13"/>
  <c r="V108" i="13"/>
  <c r="Y105" i="13"/>
  <c r="W103" i="13"/>
  <c r="AF116" i="13"/>
  <c r="AD114" i="13"/>
  <c r="AG111" i="13"/>
  <c r="AE109" i="13"/>
  <c r="AC107" i="13"/>
  <c r="AF104" i="13"/>
  <c r="AD102" i="13"/>
  <c r="D42" i="13"/>
  <c r="I42" i="13"/>
  <c r="H42" i="13"/>
  <c r="G42" i="13"/>
  <c r="F42" i="13"/>
  <c r="E42" i="13"/>
  <c r="L139" i="13"/>
  <c r="L140" i="13"/>
  <c r="L141" i="13"/>
  <c r="L142" i="13"/>
  <c r="L143" i="13"/>
  <c r="L144" i="13"/>
  <c r="L145" i="13"/>
  <c r="L146" i="13"/>
  <c r="L147" i="13"/>
  <c r="L148" i="13"/>
  <c r="L149" i="13"/>
  <c r="L150" i="13"/>
  <c r="L151" i="13"/>
  <c r="L152" i="13"/>
  <c r="L153" i="13"/>
  <c r="L154" i="13"/>
  <c r="L138" i="13"/>
  <c r="T139" i="13"/>
  <c r="T140" i="13"/>
  <c r="T141" i="13"/>
  <c r="T142" i="13"/>
  <c r="T143" i="13"/>
  <c r="T144" i="13"/>
  <c r="T145" i="13"/>
  <c r="T146" i="13"/>
  <c r="T147" i="13"/>
  <c r="T148" i="13"/>
  <c r="T149" i="13"/>
  <c r="T150" i="13"/>
  <c r="T151" i="13"/>
  <c r="T152" i="13"/>
  <c r="T153" i="13"/>
  <c r="T154" i="13"/>
  <c r="T138" i="13"/>
  <c r="AB139" i="13"/>
  <c r="AB140" i="13"/>
  <c r="AB141" i="13"/>
  <c r="AB142" i="13"/>
  <c r="AB143" i="13"/>
  <c r="AB144" i="13"/>
  <c r="AB145" i="13"/>
  <c r="AB146" i="13"/>
  <c r="AB147" i="13"/>
  <c r="AB148" i="13"/>
  <c r="AB149" i="13"/>
  <c r="AB150" i="13"/>
  <c r="AB151" i="13"/>
  <c r="AB152" i="13"/>
  <c r="AB153" i="13"/>
  <c r="AB154" i="13"/>
  <c r="AB138" i="13"/>
  <c r="Q138" i="13"/>
  <c r="Q139" i="13"/>
  <c r="Q140" i="13"/>
  <c r="Q141" i="13"/>
  <c r="Q142" i="13"/>
  <c r="Q143" i="13"/>
  <c r="Q144" i="13"/>
  <c r="Q145" i="13"/>
  <c r="Q146" i="13"/>
  <c r="Q147" i="13"/>
  <c r="Q148" i="13"/>
  <c r="Q149" i="13"/>
  <c r="Q150" i="13"/>
  <c r="Q151" i="13"/>
  <c r="Q152" i="13"/>
  <c r="Q153" i="13"/>
  <c r="Q154" i="13"/>
  <c r="P138" i="13"/>
  <c r="P139" i="13"/>
  <c r="P140" i="13"/>
  <c r="P141" i="13"/>
  <c r="P142" i="13"/>
  <c r="P144" i="13"/>
  <c r="P145" i="13"/>
  <c r="P146" i="13"/>
  <c r="P147" i="13"/>
  <c r="P148" i="13"/>
  <c r="P149" i="13"/>
  <c r="P150" i="13"/>
  <c r="P151" i="13"/>
  <c r="P152" i="13"/>
  <c r="P153" i="13"/>
  <c r="P154" i="13"/>
  <c r="O138" i="13"/>
  <c r="O139" i="13"/>
  <c r="O140" i="13"/>
  <c r="O141" i="13"/>
  <c r="O142" i="13"/>
  <c r="O143" i="13"/>
  <c r="O144" i="13"/>
  <c r="O145" i="13"/>
  <c r="O146" i="13"/>
  <c r="O147" i="13"/>
  <c r="O148" i="13"/>
  <c r="O149" i="13"/>
  <c r="O150" i="13"/>
  <c r="O151" i="13"/>
  <c r="O152" i="13"/>
  <c r="O153" i="13"/>
  <c r="O154" i="13"/>
  <c r="N138" i="13"/>
  <c r="N139" i="13"/>
  <c r="N140" i="13"/>
  <c r="N141" i="13"/>
  <c r="N142" i="13"/>
  <c r="N143" i="13"/>
  <c r="N144" i="13"/>
  <c r="N145" i="13"/>
  <c r="N146" i="13"/>
  <c r="N147" i="13"/>
  <c r="N148" i="13"/>
  <c r="N149" i="13"/>
  <c r="N150" i="13"/>
  <c r="N151" i="13"/>
  <c r="N152" i="13"/>
  <c r="N153" i="13"/>
  <c r="N154" i="13"/>
  <c r="M138" i="13"/>
  <c r="M139" i="13"/>
  <c r="M140" i="13"/>
  <c r="M141" i="13"/>
  <c r="M142" i="13"/>
  <c r="M143" i="13"/>
  <c r="M144" i="13"/>
  <c r="M145" i="13"/>
  <c r="M146" i="13"/>
  <c r="M147" i="13"/>
  <c r="M148" i="13"/>
  <c r="M149" i="13"/>
  <c r="M150" i="13"/>
  <c r="M151" i="13"/>
  <c r="M152" i="13"/>
  <c r="M153" i="13"/>
  <c r="M154" i="13"/>
  <c r="Y138" i="13"/>
  <c r="Y139" i="13"/>
  <c r="Y140" i="13"/>
  <c r="Y141" i="13"/>
  <c r="Y142" i="13"/>
  <c r="Y143" i="13"/>
  <c r="Y144" i="13"/>
  <c r="Y145" i="13"/>
  <c r="Y146" i="13"/>
  <c r="Y147" i="13"/>
  <c r="Y148" i="13"/>
  <c r="Y149" i="13"/>
  <c r="Y150" i="13"/>
  <c r="Y151" i="13"/>
  <c r="Y152" i="13"/>
  <c r="Y153" i="13"/>
  <c r="Y154" i="13"/>
  <c r="X138" i="13"/>
  <c r="X139" i="13"/>
  <c r="X140" i="13"/>
  <c r="X141" i="13"/>
  <c r="X142" i="13"/>
  <c r="X143" i="13"/>
  <c r="X144" i="13"/>
  <c r="X145" i="13"/>
  <c r="X146" i="13"/>
  <c r="X147" i="13"/>
  <c r="X148" i="13"/>
  <c r="X149" i="13"/>
  <c r="X150" i="13"/>
  <c r="X151" i="13"/>
  <c r="X152" i="13"/>
  <c r="X153" i="13"/>
  <c r="X154" i="13"/>
  <c r="W138" i="13"/>
  <c r="W139" i="13"/>
  <c r="W140" i="13"/>
  <c r="W141" i="13"/>
  <c r="W142" i="13"/>
  <c r="W143" i="13"/>
  <c r="W144" i="13"/>
  <c r="W145" i="13"/>
  <c r="W146" i="13"/>
  <c r="W147" i="13"/>
  <c r="W148" i="13"/>
  <c r="W149" i="13"/>
  <c r="W150" i="13"/>
  <c r="W151" i="13"/>
  <c r="W152" i="13"/>
  <c r="W153" i="13"/>
  <c r="W154" i="13"/>
  <c r="V138" i="13"/>
  <c r="V139" i="13"/>
  <c r="V140" i="13"/>
  <c r="V141" i="13"/>
  <c r="V142" i="13"/>
  <c r="V143" i="13"/>
  <c r="V144" i="13"/>
  <c r="V145" i="13"/>
  <c r="V146" i="13"/>
  <c r="V147" i="13"/>
  <c r="V148" i="13"/>
  <c r="V149" i="13"/>
  <c r="V150" i="13"/>
  <c r="V151" i="13"/>
  <c r="V152" i="13"/>
  <c r="V153" i="13"/>
  <c r="V154" i="13"/>
  <c r="U138" i="13"/>
  <c r="U139" i="13"/>
  <c r="U140" i="13"/>
  <c r="U141" i="13"/>
  <c r="U142" i="13"/>
  <c r="U143" i="13"/>
  <c r="U144" i="13"/>
  <c r="U145" i="13"/>
  <c r="U146" i="13"/>
  <c r="U147" i="13"/>
  <c r="U148" i="13"/>
  <c r="U149" i="13"/>
  <c r="U150" i="13"/>
  <c r="U151" i="13"/>
  <c r="U152" i="13"/>
  <c r="U153" i="13"/>
  <c r="U154" i="13"/>
  <c r="AG138" i="13"/>
  <c r="AG139" i="13"/>
  <c r="AG140" i="13"/>
  <c r="AG141" i="13"/>
  <c r="AG142" i="13"/>
  <c r="AG143" i="13"/>
  <c r="AG144" i="13"/>
  <c r="AG145" i="13"/>
  <c r="AG146" i="13"/>
  <c r="AG147" i="13"/>
  <c r="AG148" i="13"/>
  <c r="AG149" i="13"/>
  <c r="AG150" i="13"/>
  <c r="AG151" i="13"/>
  <c r="AG152" i="13"/>
  <c r="AG153" i="13"/>
  <c r="AG154" i="13"/>
  <c r="AF138" i="13"/>
  <c r="AF139" i="13"/>
  <c r="AF140" i="13"/>
  <c r="AF141" i="13"/>
  <c r="AF142" i="13"/>
  <c r="AF143" i="13"/>
  <c r="AF144" i="13"/>
  <c r="AF145" i="13"/>
  <c r="AF146" i="13"/>
  <c r="AF147" i="13"/>
  <c r="AF148" i="13"/>
  <c r="AF149" i="13"/>
  <c r="AF150" i="13"/>
  <c r="AF151" i="13"/>
  <c r="AF152" i="13"/>
  <c r="AF153" i="13"/>
  <c r="AF154" i="13"/>
  <c r="AE138" i="13"/>
  <c r="AE139" i="13"/>
  <c r="AE140" i="13"/>
  <c r="AE141" i="13"/>
  <c r="AE142" i="13"/>
  <c r="AE143" i="13"/>
  <c r="AE144" i="13"/>
  <c r="AE145" i="13"/>
  <c r="AE146" i="13"/>
  <c r="AE147" i="13"/>
  <c r="AE148" i="13"/>
  <c r="AE149" i="13"/>
  <c r="AE150" i="13"/>
  <c r="AE151" i="13"/>
  <c r="AE152" i="13"/>
  <c r="AE153" i="13"/>
  <c r="AE154" i="13"/>
  <c r="AD138" i="13"/>
  <c r="AD139" i="13"/>
  <c r="AD140" i="13"/>
  <c r="AD141" i="13"/>
  <c r="AD142" i="13"/>
  <c r="AD143" i="13"/>
  <c r="AD144" i="13"/>
  <c r="AD145" i="13"/>
  <c r="AD146" i="13"/>
  <c r="AD147" i="13"/>
  <c r="AD148" i="13"/>
  <c r="AD149" i="13"/>
  <c r="AD150" i="13"/>
  <c r="AD151" i="13"/>
  <c r="AD152" i="13"/>
  <c r="AD153" i="13"/>
  <c r="AD154" i="13"/>
  <c r="AC138" i="13"/>
  <c r="AC139" i="13"/>
  <c r="AC140" i="13"/>
  <c r="AC141" i="13"/>
  <c r="AC142" i="13"/>
  <c r="AC143" i="13"/>
  <c r="AC144" i="13"/>
  <c r="AC145" i="13"/>
  <c r="AC146" i="13"/>
  <c r="AC147" i="13"/>
  <c r="AC148" i="13"/>
  <c r="AC149" i="13"/>
  <c r="AC150" i="13"/>
  <c r="AC151" i="13"/>
  <c r="AC152" i="13"/>
  <c r="AC153" i="13"/>
  <c r="AC154" i="13"/>
  <c r="D154" i="13"/>
  <c r="D153" i="13"/>
  <c r="D152" i="13"/>
  <c r="D151" i="13"/>
  <c r="D150" i="13"/>
  <c r="D149" i="13"/>
  <c r="D148" i="13"/>
  <c r="D147" i="13"/>
  <c r="A2" i="9" a="1"/>
  <c r="A20" i="9"/>
  <c r="A14" i="9"/>
  <c r="A8" i="9"/>
  <c r="D43" i="8"/>
  <c r="D42" i="8"/>
  <c r="D41" i="8"/>
  <c r="D40" i="8"/>
  <c r="D39" i="8"/>
  <c r="D38" i="8"/>
  <c r="D37" i="8"/>
  <c r="D36" i="8"/>
  <c r="D35" i="8"/>
  <c r="D34" i="8"/>
  <c r="D33" i="8"/>
  <c r="D32" i="8"/>
  <c r="E43" i="8"/>
  <c r="E42" i="8"/>
  <c r="E41" i="8"/>
  <c r="E40" i="8"/>
  <c r="E39" i="8"/>
  <c r="E38" i="8"/>
  <c r="E37" i="8"/>
  <c r="E36" i="8"/>
  <c r="E35" i="8"/>
  <c r="E34" i="8"/>
  <c r="E33" i="8"/>
  <c r="E32" i="8"/>
  <c r="F43" i="8"/>
  <c r="F42" i="8"/>
  <c r="F41" i="8"/>
  <c r="F40" i="8"/>
  <c r="F39" i="8"/>
  <c r="F38" i="8"/>
  <c r="F37" i="8"/>
  <c r="F36" i="8"/>
  <c r="F35" i="8"/>
  <c r="F34" i="8"/>
  <c r="F33" i="8"/>
  <c r="F32" i="8"/>
  <c r="F31" i="8"/>
  <c r="H43" i="8"/>
  <c r="H42" i="8"/>
  <c r="H41" i="8"/>
  <c r="H40" i="8"/>
  <c r="H39" i="8"/>
  <c r="H38" i="8"/>
  <c r="H37" i="8"/>
  <c r="H36" i="8"/>
  <c r="H35" i="8"/>
  <c r="H34" i="8"/>
  <c r="H33" i="8"/>
  <c r="H32" i="8"/>
  <c r="H31" i="8"/>
  <c r="I42" i="8"/>
  <c r="I41" i="8"/>
  <c r="I40" i="8"/>
  <c r="I39" i="8"/>
  <c r="I38" i="8"/>
  <c r="I37" i="8"/>
  <c r="I36" i="8"/>
  <c r="I35" i="8"/>
  <c r="I34" i="8"/>
  <c r="I33" i="8"/>
  <c r="I32" i="8"/>
  <c r="I31" i="8"/>
  <c r="J43" i="8"/>
  <c r="J42" i="8"/>
  <c r="J41" i="8"/>
  <c r="J40" i="8"/>
  <c r="J39" i="8"/>
  <c r="J38" i="8"/>
  <c r="J37" i="8"/>
  <c r="J36" i="8"/>
  <c r="J35" i="8"/>
  <c r="J34" i="8"/>
  <c r="J33" i="8"/>
  <c r="J32" i="8"/>
  <c r="J31" i="8"/>
  <c r="L43" i="8"/>
  <c r="L42" i="8"/>
  <c r="L41" i="8"/>
  <c r="L40" i="8"/>
  <c r="L39" i="8"/>
  <c r="L38" i="8"/>
  <c r="L37" i="8"/>
  <c r="L36" i="8"/>
  <c r="L35" i="8"/>
  <c r="L34" i="8"/>
  <c r="L33" i="8"/>
  <c r="L32" i="8"/>
  <c r="L31" i="8"/>
  <c r="M43" i="8"/>
  <c r="M42" i="8"/>
  <c r="M41" i="8"/>
  <c r="M40" i="8"/>
  <c r="M39" i="8"/>
  <c r="M38" i="8"/>
  <c r="M37" i="8"/>
  <c r="M36" i="8"/>
  <c r="M35" i="8"/>
  <c r="M34" i="8"/>
  <c r="M33" i="8"/>
  <c r="M32" i="8"/>
  <c r="M31" i="8"/>
  <c r="N43" i="8"/>
  <c r="N42" i="8"/>
  <c r="N41" i="8"/>
  <c r="N40" i="8"/>
  <c r="N39" i="8"/>
  <c r="N38" i="8"/>
  <c r="N37" i="8"/>
  <c r="N36" i="8"/>
  <c r="N35" i="8"/>
  <c r="N34" i="8"/>
  <c r="N33" i="8"/>
  <c r="N32" i="8"/>
  <c r="N31" i="8"/>
  <c r="P43" i="8"/>
  <c r="P42" i="8"/>
  <c r="P41" i="8"/>
  <c r="P40" i="8"/>
  <c r="P39" i="8"/>
  <c r="P38" i="8"/>
  <c r="P37" i="8"/>
  <c r="P36" i="8"/>
  <c r="P35" i="8"/>
  <c r="P34" i="8"/>
  <c r="P33" i="8"/>
  <c r="P32" i="8"/>
  <c r="P31" i="8"/>
  <c r="Q43" i="8"/>
  <c r="Q42" i="8"/>
  <c r="Q41" i="8"/>
  <c r="Q40" i="8"/>
  <c r="Q39" i="8"/>
  <c r="Q38" i="8"/>
  <c r="Q37" i="8"/>
  <c r="Q36" i="8"/>
  <c r="Q35" i="8"/>
  <c r="Q34" i="8"/>
  <c r="Q33" i="8"/>
  <c r="Q32" i="8"/>
  <c r="Q31" i="8"/>
  <c r="R43" i="8"/>
  <c r="R42" i="8"/>
  <c r="R41" i="8"/>
  <c r="R40" i="8"/>
  <c r="R39" i="8"/>
  <c r="R38" i="8"/>
  <c r="R37" i="8"/>
  <c r="R36" i="8"/>
  <c r="R35" i="8"/>
  <c r="R34" i="8"/>
  <c r="R33" i="8"/>
  <c r="R32" i="8"/>
  <c r="R31" i="8"/>
  <c r="L100" i="13" l="1"/>
  <c r="L113" i="13"/>
  <c r="L103" i="13"/>
  <c r="T113" i="13"/>
  <c r="T104" i="13"/>
  <c r="L112" i="13"/>
  <c r="L111" i="13"/>
  <c r="L105" i="13"/>
  <c r="L106" i="13"/>
  <c r="AB110" i="13"/>
  <c r="L110" i="13"/>
  <c r="T101" i="13"/>
  <c r="AB111" i="13"/>
  <c r="AB107" i="13"/>
  <c r="AB102" i="13"/>
  <c r="AB113" i="13"/>
  <c r="AB103" i="13"/>
  <c r="AB115" i="13"/>
  <c r="L109" i="13"/>
  <c r="AB104" i="13"/>
  <c r="T110" i="13"/>
  <c r="AB108" i="13"/>
  <c r="T105" i="13"/>
  <c r="T102" i="13"/>
  <c r="T100" i="13"/>
  <c r="T114" i="13"/>
  <c r="T107" i="13"/>
  <c r="D176" i="13"/>
  <c r="D99" i="13"/>
  <c r="D43" i="13"/>
  <c r="D44" i="13" s="1"/>
  <c r="D45" i="13" s="1"/>
  <c r="D46" i="13" s="1"/>
  <c r="D47" i="13" s="1"/>
  <c r="D48" i="13" s="1"/>
  <c r="D49" i="13" s="1"/>
  <c r="D50" i="13" s="1"/>
  <c r="D51" i="13" s="1"/>
  <c r="D52" i="13" s="1"/>
  <c r="D53" i="13" s="1"/>
  <c r="D54" i="13" s="1"/>
  <c r="D55" i="13" s="1"/>
  <c r="D56" i="13" s="1"/>
  <c r="D57" i="13" s="1"/>
  <c r="D58" i="13" s="1"/>
  <c r="D59" i="13" s="1"/>
  <c r="L115" i="13"/>
  <c r="AB105" i="13"/>
  <c r="L108" i="13"/>
  <c r="AB112" i="13"/>
  <c r="AB100" i="13"/>
  <c r="AB114" i="13"/>
  <c r="T106" i="13"/>
  <c r="L102" i="13"/>
  <c r="L107" i="13"/>
  <c r="T111" i="13"/>
  <c r="AB109" i="13"/>
  <c r="AB101" i="13"/>
  <c r="L114" i="13"/>
  <c r="AB106" i="13"/>
  <c r="T103" i="13"/>
  <c r="T109" i="13"/>
  <c r="L101" i="13"/>
  <c r="T112" i="13"/>
  <c r="T115" i="13"/>
  <c r="T108" i="13"/>
  <c r="A2" i="9"/>
  <c r="J3" i="9"/>
  <c r="E4" i="13"/>
  <c r="D4" i="13"/>
  <c r="D100" i="13" s="1"/>
  <c r="K3" i="9"/>
  <c r="L3" i="9"/>
  <c r="M3" i="9"/>
  <c r="N3" i="9"/>
  <c r="O3" i="9"/>
  <c r="K4" i="9"/>
  <c r="L4" i="9"/>
  <c r="M4" i="9"/>
  <c r="N4" i="9"/>
  <c r="O4" i="9"/>
  <c r="K5" i="9"/>
  <c r="L5" i="9"/>
  <c r="M5" i="9"/>
  <c r="N5" i="9"/>
  <c r="O5" i="9"/>
  <c r="J5" i="9"/>
  <c r="J4" i="9"/>
  <c r="AC4" i="13"/>
  <c r="AD4" i="13"/>
  <c r="AE4" i="13"/>
  <c r="AF4" i="13"/>
  <c r="AG4" i="13"/>
  <c r="AB4" i="13"/>
  <c r="T4" i="13"/>
  <c r="U4" i="13"/>
  <c r="V4" i="13"/>
  <c r="W4" i="13"/>
  <c r="X4" i="13"/>
  <c r="Y4" i="13"/>
  <c r="L4" i="13"/>
  <c r="M4" i="13"/>
  <c r="N4" i="13"/>
  <c r="O4" i="13"/>
  <c r="P4" i="13"/>
  <c r="Q4" i="13"/>
  <c r="F4" i="13"/>
  <c r="G4" i="13"/>
  <c r="H4" i="13"/>
  <c r="I4" i="13"/>
  <c r="AC80" i="13"/>
  <c r="AD80" i="13"/>
  <c r="AE80" i="13"/>
  <c r="AF80" i="13"/>
  <c r="AG80" i="13"/>
  <c r="AB80" i="13"/>
  <c r="P118" i="13"/>
  <c r="H118" i="13"/>
  <c r="D80" i="13" l="1"/>
  <c r="D156" i="13" s="1"/>
  <c r="I100" i="13"/>
  <c r="I101" i="13"/>
  <c r="I102" i="13"/>
  <c r="I103" i="13"/>
  <c r="I104" i="13"/>
  <c r="I105" i="13"/>
  <c r="I106" i="13"/>
  <c r="I107" i="13"/>
  <c r="I108" i="13"/>
  <c r="I109" i="13"/>
  <c r="I110" i="13"/>
  <c r="I111" i="13"/>
  <c r="I112" i="13"/>
  <c r="I113" i="13"/>
  <c r="I114" i="13"/>
  <c r="I115" i="13"/>
  <c r="I116" i="13"/>
  <c r="G100" i="13"/>
  <c r="G101" i="13"/>
  <c r="G102" i="13"/>
  <c r="G103" i="13"/>
  <c r="G104" i="13"/>
  <c r="G105" i="13"/>
  <c r="G106" i="13"/>
  <c r="G107" i="13"/>
  <c r="G108" i="13"/>
  <c r="G109" i="13"/>
  <c r="G110" i="13"/>
  <c r="G111" i="13"/>
  <c r="G112" i="13"/>
  <c r="G113" i="13"/>
  <c r="G114" i="13"/>
  <c r="G115" i="13"/>
  <c r="G116" i="13"/>
  <c r="F100" i="13"/>
  <c r="F101" i="13"/>
  <c r="F102" i="13"/>
  <c r="F103" i="13"/>
  <c r="F104" i="13"/>
  <c r="F105" i="13"/>
  <c r="F106" i="13"/>
  <c r="F107" i="13"/>
  <c r="F108" i="13"/>
  <c r="F109" i="13"/>
  <c r="F110" i="13"/>
  <c r="F111" i="13"/>
  <c r="F112" i="13"/>
  <c r="F113" i="13"/>
  <c r="F114" i="13"/>
  <c r="F115" i="13"/>
  <c r="F116" i="13"/>
  <c r="P120" i="13"/>
  <c r="P121" i="13"/>
  <c r="P122" i="13"/>
  <c r="P123" i="13"/>
  <c r="P124" i="13"/>
  <c r="P125" i="13"/>
  <c r="P126" i="13"/>
  <c r="P127" i="13"/>
  <c r="P128" i="13"/>
  <c r="P129" i="13"/>
  <c r="P130" i="13"/>
  <c r="P131" i="13"/>
  <c r="P132" i="13"/>
  <c r="P133" i="13"/>
  <c r="P134" i="13"/>
  <c r="P135" i="13"/>
  <c r="P119" i="13"/>
  <c r="L126" i="13"/>
  <c r="Y118" i="13"/>
  <c r="Y120" i="13"/>
  <c r="Y121" i="13"/>
  <c r="Y122" i="13"/>
  <c r="Y123" i="13"/>
  <c r="Y124" i="13"/>
  <c r="Y125" i="13"/>
  <c r="Y126" i="13"/>
  <c r="Y127" i="13"/>
  <c r="Y128" i="13"/>
  <c r="Y129" i="13"/>
  <c r="Y130" i="13"/>
  <c r="Y131" i="13"/>
  <c r="Y132" i="13"/>
  <c r="Y133" i="13"/>
  <c r="Y134" i="13"/>
  <c r="Y135" i="13"/>
  <c r="Y119" i="13"/>
  <c r="X118" i="13"/>
  <c r="X120" i="13"/>
  <c r="X121" i="13"/>
  <c r="X122" i="13"/>
  <c r="X123" i="13"/>
  <c r="X124" i="13"/>
  <c r="X125" i="13"/>
  <c r="X126" i="13"/>
  <c r="X127" i="13"/>
  <c r="X128" i="13"/>
  <c r="X129" i="13"/>
  <c r="X130" i="13"/>
  <c r="X131" i="13"/>
  <c r="X132" i="13"/>
  <c r="X133" i="13"/>
  <c r="X134" i="13"/>
  <c r="X135" i="13"/>
  <c r="X119" i="13"/>
  <c r="W118" i="13"/>
  <c r="W120" i="13"/>
  <c r="W121" i="13"/>
  <c r="W122" i="13"/>
  <c r="W123" i="13"/>
  <c r="W124" i="13"/>
  <c r="W125" i="13"/>
  <c r="W126" i="13"/>
  <c r="W127" i="13"/>
  <c r="W128" i="13"/>
  <c r="W129" i="13"/>
  <c r="W130" i="13"/>
  <c r="W131" i="13"/>
  <c r="W132" i="13"/>
  <c r="W133" i="13"/>
  <c r="W134" i="13"/>
  <c r="W135" i="13"/>
  <c r="W119" i="13"/>
  <c r="V118" i="13"/>
  <c r="V120" i="13"/>
  <c r="V121" i="13"/>
  <c r="V122" i="13"/>
  <c r="V123" i="13"/>
  <c r="V124" i="13"/>
  <c r="V125" i="13"/>
  <c r="V126" i="13"/>
  <c r="V127" i="13"/>
  <c r="V128" i="13"/>
  <c r="V129" i="13"/>
  <c r="V130" i="13"/>
  <c r="V131" i="13"/>
  <c r="V132" i="13"/>
  <c r="V133" i="13"/>
  <c r="V134" i="13"/>
  <c r="V135" i="13"/>
  <c r="V119" i="13"/>
  <c r="U118" i="13"/>
  <c r="U120" i="13"/>
  <c r="U121" i="13"/>
  <c r="U122" i="13"/>
  <c r="U123" i="13"/>
  <c r="U124" i="13"/>
  <c r="U125" i="13"/>
  <c r="U126" i="13"/>
  <c r="U127" i="13"/>
  <c r="U128" i="13"/>
  <c r="U129" i="13"/>
  <c r="U130" i="13"/>
  <c r="U131" i="13"/>
  <c r="U132" i="13"/>
  <c r="U133" i="13"/>
  <c r="U134" i="13"/>
  <c r="U135" i="13"/>
  <c r="U119" i="13"/>
  <c r="T118" i="13"/>
  <c r="T119" i="13"/>
  <c r="T120" i="13"/>
  <c r="T121" i="13"/>
  <c r="T122" i="13"/>
  <c r="T123" i="13"/>
  <c r="T124" i="13"/>
  <c r="T125" i="13"/>
  <c r="T126" i="13"/>
  <c r="T127" i="13"/>
  <c r="T128" i="13"/>
  <c r="T129" i="13"/>
  <c r="T130" i="13"/>
  <c r="T131" i="13"/>
  <c r="T132" i="13"/>
  <c r="T133" i="13"/>
  <c r="T134" i="13"/>
  <c r="T135" i="13"/>
  <c r="AB118" i="13"/>
  <c r="AG118" i="13"/>
  <c r="AG120" i="13"/>
  <c r="AG121" i="13"/>
  <c r="AG122" i="13"/>
  <c r="AG123" i="13"/>
  <c r="AG124" i="13"/>
  <c r="AG125" i="13"/>
  <c r="AG126" i="13"/>
  <c r="AG127" i="13"/>
  <c r="AG128" i="13"/>
  <c r="AG129" i="13"/>
  <c r="AG130" i="13"/>
  <c r="AG131" i="13"/>
  <c r="AG132" i="13"/>
  <c r="AG133" i="13"/>
  <c r="AG134" i="13"/>
  <c r="AG135" i="13"/>
  <c r="AG119" i="13"/>
  <c r="AF118" i="13"/>
  <c r="AF120" i="13"/>
  <c r="AF121" i="13"/>
  <c r="AF122" i="13"/>
  <c r="AF123" i="13"/>
  <c r="AF124" i="13"/>
  <c r="AF125" i="13"/>
  <c r="AF126" i="13"/>
  <c r="AF127" i="13"/>
  <c r="AF128" i="13"/>
  <c r="AF129" i="13"/>
  <c r="AF130" i="13"/>
  <c r="AF131" i="13"/>
  <c r="AF132" i="13"/>
  <c r="AF133" i="13"/>
  <c r="AF134" i="13"/>
  <c r="AF135" i="13"/>
  <c r="AF119" i="13"/>
  <c r="AE118" i="13"/>
  <c r="AE120" i="13"/>
  <c r="AE121" i="13"/>
  <c r="AE122" i="13"/>
  <c r="AE123" i="13"/>
  <c r="AE124" i="13"/>
  <c r="AE125" i="13"/>
  <c r="AE126" i="13"/>
  <c r="AE127" i="13"/>
  <c r="AE128" i="13"/>
  <c r="AE129" i="13"/>
  <c r="AE130" i="13"/>
  <c r="AE131" i="13"/>
  <c r="AE132" i="13"/>
  <c r="AE133" i="13"/>
  <c r="AE134" i="13"/>
  <c r="AE135" i="13"/>
  <c r="AE119" i="13"/>
  <c r="AD118" i="13"/>
  <c r="AD120" i="13"/>
  <c r="AD121" i="13"/>
  <c r="AD122" i="13"/>
  <c r="AD123" i="13"/>
  <c r="AD124" i="13"/>
  <c r="AD125" i="13"/>
  <c r="AD126" i="13"/>
  <c r="AD127" i="13"/>
  <c r="AD128" i="13"/>
  <c r="AD129" i="13"/>
  <c r="AD130" i="13"/>
  <c r="AD131" i="13"/>
  <c r="AD132" i="13"/>
  <c r="AD133" i="13"/>
  <c r="AD134" i="13"/>
  <c r="AD135" i="13"/>
  <c r="AD119" i="13"/>
  <c r="AC118" i="13"/>
  <c r="AC120" i="13"/>
  <c r="AC121" i="13"/>
  <c r="AC122" i="13"/>
  <c r="AC123" i="13"/>
  <c r="AC124" i="13"/>
  <c r="AC125" i="13"/>
  <c r="AC126" i="13"/>
  <c r="AC127" i="13"/>
  <c r="AC128" i="13"/>
  <c r="AC129" i="13"/>
  <c r="AC130" i="13"/>
  <c r="AC131" i="13"/>
  <c r="AC132" i="13"/>
  <c r="AC133" i="13"/>
  <c r="AC134" i="13"/>
  <c r="AC135" i="13"/>
  <c r="AC119" i="13"/>
  <c r="Q81" i="13"/>
  <c r="Q80" i="13"/>
  <c r="I81" i="13"/>
  <c r="I82" i="13"/>
  <c r="I83" i="13"/>
  <c r="I84" i="13"/>
  <c r="I85" i="13"/>
  <c r="I86" i="13"/>
  <c r="I87" i="13"/>
  <c r="I88" i="13"/>
  <c r="I89" i="13"/>
  <c r="I90" i="13"/>
  <c r="I91" i="13"/>
  <c r="I92" i="13"/>
  <c r="I93" i="13"/>
  <c r="I94" i="13"/>
  <c r="I95" i="13"/>
  <c r="I96" i="13"/>
  <c r="I97" i="13"/>
  <c r="I80" i="13"/>
  <c r="I156" i="13" s="1"/>
  <c r="Y80" i="13"/>
  <c r="Y81" i="13"/>
  <c r="P81" i="13"/>
  <c r="P80" i="13"/>
  <c r="H81" i="13"/>
  <c r="H82" i="13"/>
  <c r="H83" i="13"/>
  <c r="H84" i="13"/>
  <c r="H85" i="13"/>
  <c r="H86" i="13"/>
  <c r="H87" i="13"/>
  <c r="H88" i="13"/>
  <c r="H89" i="13"/>
  <c r="H90" i="13"/>
  <c r="H91" i="13"/>
  <c r="H92" i="13"/>
  <c r="H93" i="13"/>
  <c r="H94" i="13"/>
  <c r="H95" i="13"/>
  <c r="H96" i="13"/>
  <c r="H97" i="13"/>
  <c r="H80" i="13"/>
  <c r="H156" i="13" s="1"/>
  <c r="P156" i="13"/>
  <c r="X80" i="13"/>
  <c r="X81" i="13"/>
  <c r="O81" i="13"/>
  <c r="O80" i="13"/>
  <c r="G81" i="13"/>
  <c r="G82" i="13"/>
  <c r="G83" i="13"/>
  <c r="G84" i="13"/>
  <c r="G85" i="13"/>
  <c r="G86" i="13"/>
  <c r="G87" i="13"/>
  <c r="G88" i="13"/>
  <c r="G89" i="13"/>
  <c r="G90" i="13"/>
  <c r="G91" i="13"/>
  <c r="G92" i="13"/>
  <c r="G93" i="13"/>
  <c r="G94" i="13"/>
  <c r="G95" i="13"/>
  <c r="G96" i="13"/>
  <c r="G97" i="13"/>
  <c r="G80" i="13"/>
  <c r="G156" i="13" s="1"/>
  <c r="W80" i="13"/>
  <c r="W81" i="13"/>
  <c r="N81" i="13"/>
  <c r="N80" i="13"/>
  <c r="F81" i="13"/>
  <c r="F82" i="13"/>
  <c r="F83" i="13"/>
  <c r="F84" i="13"/>
  <c r="F85" i="13"/>
  <c r="F86" i="13"/>
  <c r="F87" i="13"/>
  <c r="F88" i="13"/>
  <c r="F89" i="13"/>
  <c r="F90" i="13"/>
  <c r="F91" i="13"/>
  <c r="F92" i="13"/>
  <c r="F93" i="13"/>
  <c r="F94" i="13"/>
  <c r="F95" i="13"/>
  <c r="F96" i="13"/>
  <c r="F97" i="13"/>
  <c r="F80" i="13"/>
  <c r="F156" i="13" s="1"/>
  <c r="V80" i="13"/>
  <c r="V81" i="13"/>
  <c r="M81" i="13"/>
  <c r="M80" i="13"/>
  <c r="E80" i="13"/>
  <c r="E156" i="13" s="1"/>
  <c r="U80" i="13"/>
  <c r="U81" i="13"/>
  <c r="D107" i="13"/>
  <c r="D116" i="13"/>
  <c r="D101" i="13"/>
  <c r="D102" i="13"/>
  <c r="D103" i="13"/>
  <c r="D104" i="13"/>
  <c r="D106" i="13"/>
  <c r="D108" i="13"/>
  <c r="D109" i="13"/>
  <c r="D110" i="13"/>
  <c r="D111" i="13"/>
  <c r="D112" i="13"/>
  <c r="D113" i="13"/>
  <c r="D114" i="13"/>
  <c r="D115" i="13"/>
  <c r="E100" i="13"/>
  <c r="E101" i="13"/>
  <c r="E102" i="13"/>
  <c r="E103" i="13"/>
  <c r="E104" i="13"/>
  <c r="E105" i="13"/>
  <c r="E106" i="13"/>
  <c r="E107" i="13"/>
  <c r="E108" i="13"/>
  <c r="E109" i="13"/>
  <c r="E110" i="13"/>
  <c r="E111" i="13"/>
  <c r="E112" i="13"/>
  <c r="E113" i="13"/>
  <c r="E114" i="13"/>
  <c r="E115" i="13"/>
  <c r="E116" i="13"/>
  <c r="L81" i="13"/>
  <c r="L80" i="13"/>
  <c r="L156" i="13" s="1"/>
  <c r="D81" i="13"/>
  <c r="D82" i="13"/>
  <c r="D83" i="13"/>
  <c r="D84" i="13"/>
  <c r="D85" i="13"/>
  <c r="D87" i="13"/>
  <c r="D88" i="13"/>
  <c r="D89" i="13"/>
  <c r="D90" i="13"/>
  <c r="D91" i="13"/>
  <c r="D92" i="13"/>
  <c r="D93" i="13"/>
  <c r="D94" i="13"/>
  <c r="D95" i="13"/>
  <c r="D96" i="13"/>
  <c r="D97" i="13"/>
  <c r="T80" i="13"/>
  <c r="T81" i="13"/>
  <c r="D118" i="13"/>
  <c r="AB156" i="13"/>
  <c r="AG156" i="13"/>
  <c r="AF156" i="13"/>
  <c r="AE156" i="13"/>
  <c r="AD156" i="13"/>
  <c r="AC156" i="13"/>
  <c r="AG81" i="13"/>
  <c r="AG90" i="13"/>
  <c r="AF81" i="13"/>
  <c r="AF90" i="13"/>
  <c r="AE81" i="13"/>
  <c r="AE90" i="13"/>
  <c r="AD81" i="13"/>
  <c r="AD90" i="13"/>
  <c r="AC81" i="13"/>
  <c r="AC90" i="13"/>
  <c r="N118" i="13"/>
  <c r="N119" i="13"/>
  <c r="N120" i="13"/>
  <c r="N121" i="13"/>
  <c r="N122" i="13"/>
  <c r="N123" i="13"/>
  <c r="N124" i="13"/>
  <c r="N125" i="13"/>
  <c r="N126" i="13"/>
  <c r="N127" i="13"/>
  <c r="N128" i="13"/>
  <c r="N129" i="13"/>
  <c r="N130" i="13"/>
  <c r="N131" i="13"/>
  <c r="N132" i="13"/>
  <c r="N133" i="13"/>
  <c r="N134" i="13"/>
  <c r="N135" i="13"/>
  <c r="F118" i="13"/>
  <c r="F128" i="13"/>
  <c r="F127" i="13"/>
  <c r="F126" i="13"/>
  <c r="F125" i="13"/>
  <c r="F124" i="13"/>
  <c r="F123" i="13"/>
  <c r="F122" i="13"/>
  <c r="F121" i="13"/>
  <c r="F120" i="13"/>
  <c r="F119" i="13"/>
  <c r="F135" i="13"/>
  <c r="F134" i="13"/>
  <c r="F133" i="13"/>
  <c r="F132" i="13"/>
  <c r="F131" i="13"/>
  <c r="F130" i="13"/>
  <c r="F129" i="13"/>
  <c r="O118" i="13"/>
  <c r="O119" i="13"/>
  <c r="O120" i="13"/>
  <c r="O121" i="13"/>
  <c r="O122" i="13"/>
  <c r="O123" i="13"/>
  <c r="O124" i="13"/>
  <c r="O125" i="13"/>
  <c r="O126" i="13"/>
  <c r="O127" i="13"/>
  <c r="O128" i="13"/>
  <c r="O129" i="13"/>
  <c r="O130" i="13"/>
  <c r="O131" i="13"/>
  <c r="O132" i="13"/>
  <c r="O133" i="13"/>
  <c r="O134" i="13"/>
  <c r="O135" i="13"/>
  <c r="G118" i="13"/>
  <c r="G128" i="13"/>
  <c r="G127" i="13"/>
  <c r="G126" i="13"/>
  <c r="G125" i="13"/>
  <c r="G124" i="13"/>
  <c r="G123" i="13"/>
  <c r="G122" i="13"/>
  <c r="G121" i="13"/>
  <c r="G120" i="13"/>
  <c r="G119" i="13"/>
  <c r="G135" i="13"/>
  <c r="G134" i="13"/>
  <c r="G133" i="13"/>
  <c r="G132" i="13"/>
  <c r="G131" i="13"/>
  <c r="G130" i="13"/>
  <c r="G129" i="13"/>
  <c r="Q118" i="13"/>
  <c r="Q119" i="13"/>
  <c r="Q120" i="13"/>
  <c r="Q121" i="13"/>
  <c r="Q122" i="13"/>
  <c r="Q123" i="13"/>
  <c r="Q124" i="13"/>
  <c r="Q125" i="13"/>
  <c r="Q126" i="13"/>
  <c r="Q127" i="13"/>
  <c r="Q128" i="13"/>
  <c r="Q129" i="13"/>
  <c r="Q130" i="13"/>
  <c r="Q131" i="13"/>
  <c r="Q132" i="13"/>
  <c r="Q133" i="13"/>
  <c r="Q134" i="13"/>
  <c r="Q135" i="13"/>
  <c r="I118" i="13"/>
  <c r="I127" i="13"/>
  <c r="I126" i="13"/>
  <c r="I125" i="13"/>
  <c r="I124" i="13"/>
  <c r="I123" i="13"/>
  <c r="I122" i="13"/>
  <c r="I121" i="13"/>
  <c r="I120" i="13"/>
  <c r="I119" i="13"/>
  <c r="I135" i="13"/>
  <c r="I134" i="13"/>
  <c r="I133" i="13"/>
  <c r="I132" i="13"/>
  <c r="I131" i="13"/>
  <c r="I130" i="13"/>
  <c r="I129" i="13"/>
  <c r="I128" i="13"/>
  <c r="L118" i="13"/>
  <c r="L119" i="13"/>
  <c r="L120" i="13"/>
  <c r="L121" i="13"/>
  <c r="L122" i="13"/>
  <c r="L123" i="13"/>
  <c r="L124" i="13"/>
  <c r="L125" i="13"/>
  <c r="L127" i="13"/>
  <c r="L128" i="13"/>
  <c r="L129" i="13"/>
  <c r="L130" i="13"/>
  <c r="L131" i="13"/>
  <c r="L132" i="13"/>
  <c r="L133" i="13"/>
  <c r="L134" i="13"/>
  <c r="L135" i="13"/>
  <c r="A80" i="9"/>
  <c r="D128" i="13"/>
  <c r="D119" i="13"/>
  <c r="D135" i="13"/>
  <c r="D134" i="13"/>
  <c r="D133" i="13"/>
  <c r="D132" i="13"/>
  <c r="D131" i="13"/>
  <c r="D130" i="13"/>
  <c r="D129" i="13"/>
  <c r="M118" i="13"/>
  <c r="M119" i="13"/>
  <c r="M120" i="13"/>
  <c r="M121" i="13"/>
  <c r="M122" i="13"/>
  <c r="M123" i="13"/>
  <c r="M124" i="13"/>
  <c r="M125" i="13"/>
  <c r="M126" i="13"/>
  <c r="M127" i="13"/>
  <c r="M128" i="13"/>
  <c r="M129" i="13"/>
  <c r="M130" i="13"/>
  <c r="M131" i="13"/>
  <c r="M132" i="13"/>
  <c r="M133" i="13"/>
  <c r="M134" i="13"/>
  <c r="M135" i="13"/>
  <c r="E118" i="13"/>
  <c r="E128" i="13"/>
  <c r="E127" i="13"/>
  <c r="E126" i="13"/>
  <c r="E125" i="13"/>
  <c r="E124" i="13"/>
  <c r="E123" i="13"/>
  <c r="E122" i="13"/>
  <c r="E121" i="13"/>
  <c r="E120" i="13"/>
  <c r="E119" i="13"/>
  <c r="E135" i="13"/>
  <c r="E134" i="13"/>
  <c r="E133" i="13"/>
  <c r="E132" i="13"/>
  <c r="E131" i="13"/>
  <c r="E130" i="13"/>
  <c r="E129" i="13"/>
  <c r="D120" i="13"/>
  <c r="F43" i="14" l="1"/>
  <c r="P157" i="13"/>
  <c r="D86" i="13"/>
  <c r="D105" i="13"/>
  <c r="H135" i="13"/>
  <c r="H116" i="13"/>
  <c r="H134" i="13"/>
  <c r="H115" i="13"/>
  <c r="H133" i="13"/>
  <c r="H114" i="13"/>
  <c r="H132" i="13"/>
  <c r="H113" i="13"/>
  <c r="H131" i="13"/>
  <c r="H112" i="13"/>
  <c r="H130" i="13"/>
  <c r="H111" i="13"/>
  <c r="H129" i="13"/>
  <c r="H110" i="13"/>
  <c r="H128" i="13"/>
  <c r="H109" i="13"/>
  <c r="H127" i="13"/>
  <c r="H108" i="13"/>
  <c r="H126" i="13"/>
  <c r="H107" i="13"/>
  <c r="H125" i="13"/>
  <c r="H106" i="13"/>
  <c r="H124" i="13"/>
  <c r="H105" i="13"/>
  <c r="H123" i="13"/>
  <c r="H104" i="13"/>
  <c r="H122" i="13"/>
  <c r="H103" i="13"/>
  <c r="H121" i="13"/>
  <c r="H102" i="13"/>
  <c r="H120" i="13"/>
  <c r="H101" i="13"/>
  <c r="H119" i="13"/>
  <c r="H100" i="13"/>
  <c r="U82" i="13"/>
  <c r="U158" i="13" s="1"/>
  <c r="V82" i="13"/>
  <c r="V158" i="13" s="1"/>
  <c r="W82" i="13"/>
  <c r="W158" i="13" s="1"/>
  <c r="X82" i="13"/>
  <c r="X158" i="13" s="1"/>
  <c r="Y82" i="13"/>
  <c r="Y158" i="13" s="1"/>
  <c r="T82" i="13"/>
  <c r="T158" i="13" s="1"/>
  <c r="M82" i="13"/>
  <c r="M158" i="13" s="1"/>
  <c r="N82" i="13"/>
  <c r="N158" i="13" s="1"/>
  <c r="O82" i="13"/>
  <c r="O158" i="13" s="1"/>
  <c r="P82" i="13"/>
  <c r="P158" i="13" s="1"/>
  <c r="Q82" i="13"/>
  <c r="Q158" i="13" s="1"/>
  <c r="L82" i="13"/>
  <c r="L158" i="13" s="1"/>
  <c r="T156" i="13"/>
  <c r="T157" i="13"/>
  <c r="L157" i="13"/>
  <c r="E97" i="13"/>
  <c r="E96" i="13"/>
  <c r="E95" i="13"/>
  <c r="E94" i="13"/>
  <c r="E93" i="13"/>
  <c r="E92" i="13"/>
  <c r="E91" i="13"/>
  <c r="E90" i="13"/>
  <c r="E89" i="13"/>
  <c r="E88" i="13"/>
  <c r="E87" i="13"/>
  <c r="E86" i="13"/>
  <c r="E85" i="13"/>
  <c r="E84" i="13"/>
  <c r="E83" i="13"/>
  <c r="E82" i="13"/>
  <c r="E81" i="13"/>
  <c r="M156" i="13"/>
  <c r="U157" i="13"/>
  <c r="U156" i="13"/>
  <c r="M157" i="13"/>
  <c r="N156" i="13"/>
  <c r="V157" i="13"/>
  <c r="V156" i="13"/>
  <c r="N157" i="13"/>
  <c r="O156" i="13"/>
  <c r="W157" i="13"/>
  <c r="W156" i="13"/>
  <c r="O157" i="13"/>
  <c r="G162" i="13"/>
  <c r="X157" i="13"/>
  <c r="X156" i="13"/>
  <c r="Q156" i="13"/>
  <c r="Y157" i="13"/>
  <c r="Y156" i="13"/>
  <c r="Q157" i="13"/>
  <c r="AB81" i="13"/>
  <c r="AB119" i="13"/>
  <c r="AB97" i="13"/>
  <c r="AB135" i="13"/>
  <c r="AB96" i="13"/>
  <c r="AB134" i="13"/>
  <c r="AB95" i="13"/>
  <c r="AB133" i="13"/>
  <c r="AB94" i="13"/>
  <c r="AB132" i="13"/>
  <c r="AB93" i="13"/>
  <c r="AB131" i="13"/>
  <c r="AB92" i="13"/>
  <c r="AB130" i="13"/>
  <c r="AB91" i="13"/>
  <c r="AB129" i="13"/>
  <c r="AB90" i="13"/>
  <c r="AB128" i="13"/>
  <c r="AB89" i="13"/>
  <c r="AB127" i="13"/>
  <c r="AB88" i="13"/>
  <c r="AB126" i="13"/>
  <c r="AB87" i="13"/>
  <c r="AB125" i="13"/>
  <c r="AB86" i="13"/>
  <c r="AB124" i="13"/>
  <c r="AB85" i="13"/>
  <c r="AB123" i="13"/>
  <c r="AB84" i="13"/>
  <c r="AB122" i="13"/>
  <c r="AB83" i="13"/>
  <c r="AB121" i="13"/>
  <c r="AB82" i="13"/>
  <c r="AB120" i="13"/>
  <c r="AC166" i="13"/>
  <c r="AC157" i="13"/>
  <c r="AD166" i="13"/>
  <c r="AD157" i="13"/>
  <c r="AE166" i="13"/>
  <c r="AE157" i="13"/>
  <c r="AF166" i="13"/>
  <c r="AF157" i="13"/>
  <c r="AG166" i="13"/>
  <c r="AG157" i="13"/>
  <c r="AC91" i="13"/>
  <c r="AC82" i="13"/>
  <c r="AD91" i="13"/>
  <c r="AD82" i="13"/>
  <c r="AE91" i="13"/>
  <c r="AE82" i="13"/>
  <c r="AF91" i="13"/>
  <c r="AF82" i="13"/>
  <c r="AG91" i="13"/>
  <c r="AG82" i="13"/>
  <c r="J156" i="13"/>
  <c r="F157" i="13"/>
  <c r="D121" i="13"/>
  <c r="H162" i="13" l="1"/>
  <c r="H157" i="13"/>
  <c r="Y83" i="13"/>
  <c r="X83" i="13"/>
  <c r="W83" i="13"/>
  <c r="V83" i="13"/>
  <c r="U83" i="13"/>
  <c r="T83" i="13"/>
  <c r="Q83" i="13"/>
  <c r="Q159" i="13" s="1"/>
  <c r="P83" i="13"/>
  <c r="P159" i="13" s="1"/>
  <c r="O83" i="13"/>
  <c r="O159" i="13" s="1"/>
  <c r="N83" i="13"/>
  <c r="N159" i="13" s="1"/>
  <c r="M83" i="13"/>
  <c r="M159" i="13" s="1"/>
  <c r="L83" i="13"/>
  <c r="L159" i="13" s="1"/>
  <c r="AB158" i="13"/>
  <c r="AB159" i="13"/>
  <c r="AB160" i="13"/>
  <c r="AB161" i="13"/>
  <c r="AB162" i="13"/>
  <c r="AB163" i="13"/>
  <c r="AB164" i="13"/>
  <c r="AB165" i="13"/>
  <c r="AB166" i="13"/>
  <c r="AB167" i="13"/>
  <c r="AB168" i="13"/>
  <c r="AB169" i="13"/>
  <c r="AB170" i="13"/>
  <c r="AB171" i="13"/>
  <c r="AB172" i="13"/>
  <c r="AB173" i="13"/>
  <c r="AB157" i="13"/>
  <c r="AG158" i="13"/>
  <c r="AG167" i="13"/>
  <c r="AF158" i="13"/>
  <c r="AF167" i="13"/>
  <c r="AE158" i="13"/>
  <c r="AE167" i="13"/>
  <c r="AD158" i="13"/>
  <c r="AD167" i="13"/>
  <c r="AC158" i="13"/>
  <c r="AC167" i="13"/>
  <c r="AG83" i="13"/>
  <c r="AG92" i="13"/>
  <c r="AF83" i="13"/>
  <c r="AF92" i="13"/>
  <c r="AE83" i="13"/>
  <c r="AE92" i="13"/>
  <c r="AD83" i="13"/>
  <c r="AD92" i="13"/>
  <c r="AC83" i="13"/>
  <c r="AC92" i="13"/>
  <c r="F158" i="13"/>
  <c r="G157" i="13"/>
  <c r="E157" i="13"/>
  <c r="I157" i="13"/>
  <c r="H158" i="13"/>
  <c r="D157" i="13"/>
  <c r="AH156" i="13"/>
  <c r="Z156" i="13"/>
  <c r="R156" i="13"/>
  <c r="AH167" i="13" l="1"/>
  <c r="J157" i="13"/>
  <c r="AH166" i="13"/>
  <c r="U84" i="13"/>
  <c r="V84" i="13"/>
  <c r="W84" i="13"/>
  <c r="X84" i="13"/>
  <c r="Y84" i="13"/>
  <c r="U159" i="13"/>
  <c r="V159" i="13"/>
  <c r="W159" i="13"/>
  <c r="X159" i="13"/>
  <c r="Y159" i="13"/>
  <c r="T84" i="13"/>
  <c r="T159" i="13"/>
  <c r="M84" i="13"/>
  <c r="M160" i="13" s="1"/>
  <c r="N84" i="13"/>
  <c r="N160" i="13" s="1"/>
  <c r="O84" i="13"/>
  <c r="O160" i="13" s="1"/>
  <c r="P84" i="13"/>
  <c r="P160" i="13" s="1"/>
  <c r="Q84" i="13"/>
  <c r="Q160" i="13" s="1"/>
  <c r="L84" i="13"/>
  <c r="L160" i="13" s="1"/>
  <c r="AC168" i="13"/>
  <c r="AC159" i="13"/>
  <c r="AD168" i="13"/>
  <c r="AD159" i="13"/>
  <c r="AE168" i="13"/>
  <c r="AE159" i="13"/>
  <c r="AF168" i="13"/>
  <c r="AF159" i="13"/>
  <c r="AG168" i="13"/>
  <c r="AG159" i="13"/>
  <c r="AC93" i="13"/>
  <c r="AC84" i="13"/>
  <c r="AD93" i="13"/>
  <c r="AD84" i="13"/>
  <c r="AE93" i="13"/>
  <c r="AE84" i="13"/>
  <c r="AF93" i="13"/>
  <c r="AF84" i="13"/>
  <c r="AG93" i="13"/>
  <c r="AG84" i="13"/>
  <c r="H159" i="13"/>
  <c r="I158" i="13"/>
  <c r="E158" i="13"/>
  <c r="G158" i="13"/>
  <c r="F159" i="13"/>
  <c r="D123" i="13"/>
  <c r="D158" i="13"/>
  <c r="AH157" i="13"/>
  <c r="J158" i="13" l="1"/>
  <c r="Y85" i="13"/>
  <c r="X85" i="13"/>
  <c r="W85" i="13"/>
  <c r="V85" i="13"/>
  <c r="U85" i="13"/>
  <c r="Y160" i="13"/>
  <c r="X160" i="13"/>
  <c r="W160" i="13"/>
  <c r="V160" i="13"/>
  <c r="U160" i="13"/>
  <c r="T85" i="13"/>
  <c r="T160" i="13"/>
  <c r="Q85" i="13"/>
  <c r="Q161" i="13" s="1"/>
  <c r="P85" i="13"/>
  <c r="P161" i="13" s="1"/>
  <c r="O85" i="13"/>
  <c r="O161" i="13" s="1"/>
  <c r="N85" i="13"/>
  <c r="N161" i="13" s="1"/>
  <c r="M85" i="13"/>
  <c r="M161" i="13" s="1"/>
  <c r="L85" i="13"/>
  <c r="L161" i="13" s="1"/>
  <c r="AG160" i="13"/>
  <c r="AG169" i="13"/>
  <c r="AF160" i="13"/>
  <c r="AF169" i="13"/>
  <c r="AE160" i="13"/>
  <c r="AE169" i="13"/>
  <c r="AD160" i="13"/>
  <c r="AD169" i="13"/>
  <c r="AC160" i="13"/>
  <c r="AC169" i="13"/>
  <c r="AH168" i="13"/>
  <c r="AG85" i="13"/>
  <c r="AG94" i="13"/>
  <c r="AF85" i="13"/>
  <c r="AF94" i="13"/>
  <c r="AE85" i="13"/>
  <c r="AE94" i="13"/>
  <c r="AD85" i="13"/>
  <c r="AD94" i="13"/>
  <c r="AC85" i="13"/>
  <c r="AC94" i="13"/>
  <c r="F160" i="13"/>
  <c r="G159" i="13"/>
  <c r="E159" i="13"/>
  <c r="I159" i="13"/>
  <c r="H160" i="13"/>
  <c r="D124" i="13"/>
  <c r="D159" i="13"/>
  <c r="AH158" i="13"/>
  <c r="AH169" i="13" l="1"/>
  <c r="U86" i="13"/>
  <c r="V86" i="13"/>
  <c r="W86" i="13"/>
  <c r="X86" i="13"/>
  <c r="Y86" i="13"/>
  <c r="U161" i="13"/>
  <c r="V161" i="13"/>
  <c r="W161" i="13"/>
  <c r="X161" i="13"/>
  <c r="Y161" i="13"/>
  <c r="T86" i="13"/>
  <c r="T161" i="13"/>
  <c r="M86" i="13"/>
  <c r="M162" i="13" s="1"/>
  <c r="N86" i="13"/>
  <c r="N162" i="13" s="1"/>
  <c r="O86" i="13"/>
  <c r="O162" i="13" s="1"/>
  <c r="P86" i="13"/>
  <c r="P162" i="13" s="1"/>
  <c r="Q86" i="13"/>
  <c r="Q162" i="13" s="1"/>
  <c r="L86" i="13"/>
  <c r="L162" i="13" s="1"/>
  <c r="AC170" i="13"/>
  <c r="AC161" i="13"/>
  <c r="AD170" i="13"/>
  <c r="AD161" i="13"/>
  <c r="AE170" i="13"/>
  <c r="AE161" i="13"/>
  <c r="AF170" i="13"/>
  <c r="AF161" i="13"/>
  <c r="AG170" i="13"/>
  <c r="AG161" i="13"/>
  <c r="AC95" i="13"/>
  <c r="AC86" i="13"/>
  <c r="AD95" i="13"/>
  <c r="AD86" i="13"/>
  <c r="AE95" i="13"/>
  <c r="AE86" i="13"/>
  <c r="AF95" i="13"/>
  <c r="AF86" i="13"/>
  <c r="AG95" i="13"/>
  <c r="AG86" i="13"/>
  <c r="H161" i="13"/>
  <c r="I160" i="13"/>
  <c r="E160" i="13"/>
  <c r="G160" i="13"/>
  <c r="F161" i="13"/>
  <c r="D125" i="13"/>
  <c r="D160" i="13"/>
  <c r="AH159" i="13"/>
  <c r="J159" i="13"/>
  <c r="Y87" i="13" l="1"/>
  <c r="X87" i="13"/>
  <c r="W87" i="13"/>
  <c r="V87" i="13"/>
  <c r="U87" i="13"/>
  <c r="Y162" i="13"/>
  <c r="X162" i="13"/>
  <c r="W162" i="13"/>
  <c r="V162" i="13"/>
  <c r="U162" i="13"/>
  <c r="T87" i="13"/>
  <c r="T162" i="13"/>
  <c r="Q87" i="13"/>
  <c r="Q163" i="13" s="1"/>
  <c r="P87" i="13"/>
  <c r="P163" i="13" s="1"/>
  <c r="O87" i="13"/>
  <c r="O163" i="13" s="1"/>
  <c r="N87" i="13"/>
  <c r="N163" i="13" s="1"/>
  <c r="M87" i="13"/>
  <c r="M163" i="13" s="1"/>
  <c r="L87" i="13"/>
  <c r="L163" i="13" s="1"/>
  <c r="AG162" i="13"/>
  <c r="AG171" i="13"/>
  <c r="AF162" i="13"/>
  <c r="AF171" i="13"/>
  <c r="AE162" i="13"/>
  <c r="AE171" i="13"/>
  <c r="AD162" i="13"/>
  <c r="AD171" i="13"/>
  <c r="AC162" i="13"/>
  <c r="AC171" i="13"/>
  <c r="AH170" i="13"/>
  <c r="AG87" i="13"/>
  <c r="AG96" i="13"/>
  <c r="AF87" i="13"/>
  <c r="AF96" i="13"/>
  <c r="AE87" i="13"/>
  <c r="AE96" i="13"/>
  <c r="AD87" i="13"/>
  <c r="AD96" i="13"/>
  <c r="AC87" i="13"/>
  <c r="AC96" i="13"/>
  <c r="D166" i="13"/>
  <c r="F162" i="13"/>
  <c r="G161" i="13"/>
  <c r="E161" i="13"/>
  <c r="I161" i="13"/>
  <c r="D127" i="13"/>
  <c r="D126" i="13"/>
  <c r="D161" i="13"/>
  <c r="J160" i="13"/>
  <c r="AH160" i="13"/>
  <c r="AH171" i="13" l="1"/>
  <c r="U88" i="13"/>
  <c r="V88" i="13"/>
  <c r="W88" i="13"/>
  <c r="X88" i="13"/>
  <c r="Y88" i="13"/>
  <c r="U163" i="13"/>
  <c r="V163" i="13"/>
  <c r="W163" i="13"/>
  <c r="X163" i="13"/>
  <c r="Y163" i="13"/>
  <c r="T88" i="13"/>
  <c r="T163" i="13"/>
  <c r="M88" i="13"/>
  <c r="M164" i="13" s="1"/>
  <c r="N88" i="13"/>
  <c r="N164" i="13" s="1"/>
  <c r="O88" i="13"/>
  <c r="O164" i="13" s="1"/>
  <c r="P88" i="13"/>
  <c r="P164" i="13" s="1"/>
  <c r="Q88" i="13"/>
  <c r="Q164" i="13" s="1"/>
  <c r="L88" i="13"/>
  <c r="L164" i="13" s="1"/>
  <c r="AC172" i="13"/>
  <c r="AC163" i="13"/>
  <c r="AD172" i="13"/>
  <c r="AD163" i="13"/>
  <c r="AE172" i="13"/>
  <c r="AE163" i="13"/>
  <c r="AF172" i="13"/>
  <c r="AF163" i="13"/>
  <c r="AG172" i="13"/>
  <c r="AG163" i="13"/>
  <c r="AC97" i="13"/>
  <c r="AC88" i="13"/>
  <c r="AD97" i="13"/>
  <c r="AD88" i="13"/>
  <c r="AE97" i="13"/>
  <c r="AE88" i="13"/>
  <c r="AF97" i="13"/>
  <c r="AF88" i="13"/>
  <c r="AG97" i="13"/>
  <c r="AG88" i="13"/>
  <c r="D167" i="13"/>
  <c r="H163" i="13"/>
  <c r="I162" i="13"/>
  <c r="E162" i="13"/>
  <c r="F163" i="13"/>
  <c r="D163" i="13"/>
  <c r="D162" i="13"/>
  <c r="AH161" i="13"/>
  <c r="J161" i="13"/>
  <c r="Y89" i="13" l="1"/>
  <c r="X89" i="13"/>
  <c r="W89" i="13"/>
  <c r="V89" i="13"/>
  <c r="U89" i="13"/>
  <c r="Y164" i="13"/>
  <c r="X164" i="13"/>
  <c r="W164" i="13"/>
  <c r="V164" i="13"/>
  <c r="U164" i="13"/>
  <c r="T89" i="13"/>
  <c r="T164" i="13"/>
  <c r="Q89" i="13"/>
  <c r="Q165" i="13" s="1"/>
  <c r="P89" i="13"/>
  <c r="P165" i="13" s="1"/>
  <c r="O89" i="13"/>
  <c r="O165" i="13" s="1"/>
  <c r="N89" i="13"/>
  <c r="N165" i="13" s="1"/>
  <c r="M89" i="13"/>
  <c r="M165" i="13" s="1"/>
  <c r="L89" i="13"/>
  <c r="L165" i="13" s="1"/>
  <c r="AG164" i="13"/>
  <c r="AG173" i="13"/>
  <c r="AF164" i="13"/>
  <c r="AF173" i="13"/>
  <c r="AE164" i="13"/>
  <c r="AE173" i="13"/>
  <c r="AD164" i="13"/>
  <c r="AD173" i="13"/>
  <c r="AC164" i="13"/>
  <c r="AC173" i="13"/>
  <c r="AH172" i="13"/>
  <c r="AG89" i="13"/>
  <c r="AF89" i="13"/>
  <c r="AE89" i="13"/>
  <c r="AD89" i="13"/>
  <c r="AC89" i="13"/>
  <c r="D168" i="13"/>
  <c r="F165" i="13"/>
  <c r="F164" i="13"/>
  <c r="G163" i="13"/>
  <c r="E163" i="13"/>
  <c r="I163" i="13"/>
  <c r="H165" i="13"/>
  <c r="H164" i="13"/>
  <c r="J162" i="13"/>
  <c r="AH162" i="13"/>
  <c r="AB174" i="13" l="1"/>
  <c r="AH173" i="13"/>
  <c r="U90" i="13"/>
  <c r="V90" i="13"/>
  <c r="W90" i="13"/>
  <c r="X90" i="13"/>
  <c r="Y90" i="13"/>
  <c r="U165" i="13"/>
  <c r="V165" i="13"/>
  <c r="W165" i="13"/>
  <c r="X165" i="13"/>
  <c r="Y165" i="13"/>
  <c r="T90" i="13"/>
  <c r="T165" i="13"/>
  <c r="M90" i="13"/>
  <c r="M166" i="13" s="1"/>
  <c r="N90" i="13"/>
  <c r="N166" i="13" s="1"/>
  <c r="O90" i="13"/>
  <c r="O166" i="13" s="1"/>
  <c r="P90" i="13"/>
  <c r="P166" i="13" s="1"/>
  <c r="Q90" i="13"/>
  <c r="Q166" i="13" s="1"/>
  <c r="L90" i="13"/>
  <c r="L166" i="13" s="1"/>
  <c r="AC165" i="13"/>
  <c r="AD165" i="13"/>
  <c r="AE165" i="13"/>
  <c r="AF165" i="13"/>
  <c r="AG165" i="13"/>
  <c r="E166" i="13"/>
  <c r="F166" i="13"/>
  <c r="G166" i="13"/>
  <c r="H166" i="13"/>
  <c r="I166" i="13"/>
  <c r="D169" i="13"/>
  <c r="I165" i="13"/>
  <c r="I164" i="13"/>
  <c r="E165" i="13"/>
  <c r="E164" i="13"/>
  <c r="G165" i="13"/>
  <c r="G164" i="13"/>
  <c r="D165" i="13"/>
  <c r="D164" i="13"/>
  <c r="AH163" i="13"/>
  <c r="J163" i="13"/>
  <c r="R166" i="13" l="1"/>
  <c r="Y91" i="13"/>
  <c r="X91" i="13"/>
  <c r="W91" i="13"/>
  <c r="V91" i="13"/>
  <c r="U91" i="13"/>
  <c r="Y166" i="13"/>
  <c r="X166" i="13"/>
  <c r="W166" i="13"/>
  <c r="V166" i="13"/>
  <c r="U166" i="13"/>
  <c r="T91" i="13"/>
  <c r="T166" i="13"/>
  <c r="Q91" i="13"/>
  <c r="Q167" i="13" s="1"/>
  <c r="P91" i="13"/>
  <c r="P167" i="13" s="1"/>
  <c r="O91" i="13"/>
  <c r="O167" i="13" s="1"/>
  <c r="N91" i="13"/>
  <c r="N167" i="13" s="1"/>
  <c r="M91" i="13"/>
  <c r="M167" i="13" s="1"/>
  <c r="L91" i="13"/>
  <c r="L167" i="13" s="1"/>
  <c r="J166" i="13"/>
  <c r="I167" i="13"/>
  <c r="H167" i="13"/>
  <c r="G167" i="13"/>
  <c r="F167" i="13"/>
  <c r="E167" i="13"/>
  <c r="D170" i="13"/>
  <c r="J164" i="13"/>
  <c r="J165" i="13"/>
  <c r="AH164" i="13"/>
  <c r="AH165" i="13"/>
  <c r="Z166" i="13" l="1"/>
  <c r="J167" i="13"/>
  <c r="U92" i="13"/>
  <c r="V92" i="13"/>
  <c r="W92" i="13"/>
  <c r="X92" i="13"/>
  <c r="Y92" i="13"/>
  <c r="U167" i="13"/>
  <c r="V167" i="13"/>
  <c r="W167" i="13"/>
  <c r="X167" i="13"/>
  <c r="Y167" i="13"/>
  <c r="T92" i="13"/>
  <c r="T167" i="13"/>
  <c r="M92" i="13"/>
  <c r="M168" i="13" s="1"/>
  <c r="N92" i="13"/>
  <c r="N168" i="13" s="1"/>
  <c r="O92" i="13"/>
  <c r="O168" i="13" s="1"/>
  <c r="P92" i="13"/>
  <c r="P168" i="13" s="1"/>
  <c r="Q92" i="13"/>
  <c r="Q168" i="13" s="1"/>
  <c r="L92" i="13"/>
  <c r="L168" i="13" s="1"/>
  <c r="E168" i="13"/>
  <c r="F168" i="13"/>
  <c r="G168" i="13"/>
  <c r="H168" i="13"/>
  <c r="I168" i="13"/>
  <c r="Z157" i="13"/>
  <c r="D171" i="13"/>
  <c r="R167" i="13"/>
  <c r="Z167" i="13" l="1"/>
  <c r="R168" i="13"/>
  <c r="Y93" i="13"/>
  <c r="X93" i="13"/>
  <c r="W93" i="13"/>
  <c r="V93" i="13"/>
  <c r="U93" i="13"/>
  <c r="Y168" i="13"/>
  <c r="X168" i="13"/>
  <c r="W168" i="13"/>
  <c r="V168" i="13"/>
  <c r="U168" i="13"/>
  <c r="T93" i="13"/>
  <c r="T168" i="13"/>
  <c r="Q93" i="13"/>
  <c r="Q169" i="13" s="1"/>
  <c r="P93" i="13"/>
  <c r="P169" i="13" s="1"/>
  <c r="O93" i="13"/>
  <c r="O169" i="13" s="1"/>
  <c r="N93" i="13"/>
  <c r="N169" i="13" s="1"/>
  <c r="M93" i="13"/>
  <c r="M169" i="13" s="1"/>
  <c r="L93" i="13"/>
  <c r="L169" i="13" s="1"/>
  <c r="Z158" i="13"/>
  <c r="I169" i="13"/>
  <c r="H169" i="13"/>
  <c r="G169" i="13"/>
  <c r="F169" i="13"/>
  <c r="J168" i="13"/>
  <c r="E169" i="13"/>
  <c r="D172" i="13"/>
  <c r="Z168" i="13" l="1"/>
  <c r="J169" i="13"/>
  <c r="U94" i="13"/>
  <c r="V94" i="13"/>
  <c r="W94" i="13"/>
  <c r="X94" i="13"/>
  <c r="Y94" i="13"/>
  <c r="U169" i="13"/>
  <c r="V169" i="13"/>
  <c r="W169" i="13"/>
  <c r="X169" i="13"/>
  <c r="Y169" i="13"/>
  <c r="T94" i="13"/>
  <c r="T169" i="13"/>
  <c r="M94" i="13"/>
  <c r="M170" i="13" s="1"/>
  <c r="N94" i="13"/>
  <c r="N170" i="13" s="1"/>
  <c r="O94" i="13"/>
  <c r="O170" i="13" s="1"/>
  <c r="P94" i="13"/>
  <c r="P170" i="13" s="1"/>
  <c r="Q94" i="13"/>
  <c r="Q170" i="13" s="1"/>
  <c r="L94" i="13"/>
  <c r="L170" i="13" s="1"/>
  <c r="E170" i="13"/>
  <c r="F170" i="13"/>
  <c r="G170" i="13"/>
  <c r="H170" i="13"/>
  <c r="I170" i="13"/>
  <c r="R169" i="13"/>
  <c r="Z159" i="13"/>
  <c r="D173" i="13"/>
  <c r="R157" i="13"/>
  <c r="Z169" i="13" l="1"/>
  <c r="Y95" i="13"/>
  <c r="X95" i="13"/>
  <c r="W95" i="13"/>
  <c r="V95" i="13"/>
  <c r="U95" i="13"/>
  <c r="Y170" i="13"/>
  <c r="X170" i="13"/>
  <c r="W170" i="13"/>
  <c r="V170" i="13"/>
  <c r="U170" i="13"/>
  <c r="T95" i="13"/>
  <c r="T170" i="13"/>
  <c r="Q95" i="13"/>
  <c r="Q171" i="13" s="1"/>
  <c r="P95" i="13"/>
  <c r="P171" i="13" s="1"/>
  <c r="O95" i="13"/>
  <c r="O171" i="13" s="1"/>
  <c r="N95" i="13"/>
  <c r="N171" i="13" s="1"/>
  <c r="M95" i="13"/>
  <c r="M171" i="13" s="1"/>
  <c r="L95" i="13"/>
  <c r="L171" i="13" s="1"/>
  <c r="Z160" i="13"/>
  <c r="R170" i="13"/>
  <c r="I171" i="13"/>
  <c r="H171" i="13"/>
  <c r="G171" i="13"/>
  <c r="F171" i="13"/>
  <c r="J170" i="13"/>
  <c r="E171" i="13"/>
  <c r="R158" i="13"/>
  <c r="J171" i="13" l="1"/>
  <c r="Z170" i="13"/>
  <c r="U96" i="13"/>
  <c r="V96" i="13"/>
  <c r="W96" i="13"/>
  <c r="X96" i="13"/>
  <c r="Y96" i="13"/>
  <c r="U171" i="13"/>
  <c r="V171" i="13"/>
  <c r="W171" i="13"/>
  <c r="X171" i="13"/>
  <c r="Y171" i="13"/>
  <c r="T96" i="13"/>
  <c r="T171" i="13"/>
  <c r="M96" i="13"/>
  <c r="M172" i="13" s="1"/>
  <c r="N96" i="13"/>
  <c r="N172" i="13" s="1"/>
  <c r="O96" i="13"/>
  <c r="O172" i="13" s="1"/>
  <c r="P96" i="13"/>
  <c r="P172" i="13" s="1"/>
  <c r="Q96" i="13"/>
  <c r="Q172" i="13" s="1"/>
  <c r="L96" i="13"/>
  <c r="L172" i="13" s="1"/>
  <c r="E172" i="13"/>
  <c r="F172" i="13"/>
  <c r="G172" i="13"/>
  <c r="H172" i="13"/>
  <c r="I172" i="13"/>
  <c r="R171" i="13"/>
  <c r="Z161" i="13"/>
  <c r="R159" i="13"/>
  <c r="Z171" i="13" l="1"/>
  <c r="Y97" i="13"/>
  <c r="X97" i="13"/>
  <c r="W97" i="13"/>
  <c r="V97" i="13"/>
  <c r="U97" i="13"/>
  <c r="Y172" i="13"/>
  <c r="X172" i="13"/>
  <c r="W172" i="13"/>
  <c r="V172" i="13"/>
  <c r="U172" i="13"/>
  <c r="T97" i="13"/>
  <c r="T172" i="13"/>
  <c r="Q97" i="13"/>
  <c r="Q173" i="13" s="1"/>
  <c r="P97" i="13"/>
  <c r="P173" i="13" s="1"/>
  <c r="O97" i="13"/>
  <c r="O173" i="13" s="1"/>
  <c r="N97" i="13"/>
  <c r="N173" i="13" s="1"/>
  <c r="M97" i="13"/>
  <c r="M173" i="13" s="1"/>
  <c r="L97" i="13"/>
  <c r="L173" i="13" s="1"/>
  <c r="Z162" i="13"/>
  <c r="I173" i="13"/>
  <c r="H173" i="13"/>
  <c r="G173" i="13"/>
  <c r="F173" i="13"/>
  <c r="J172" i="13"/>
  <c r="E173" i="13"/>
  <c r="R160" i="13"/>
  <c r="Z172" i="13" l="1"/>
  <c r="J173" i="13"/>
  <c r="D174" i="13"/>
  <c r="U173" i="13"/>
  <c r="V173" i="13"/>
  <c r="W173" i="13"/>
  <c r="X173" i="13"/>
  <c r="Y173" i="13"/>
  <c r="T173" i="13"/>
  <c r="R173" i="13"/>
  <c r="R172" i="13"/>
  <c r="Z163" i="13"/>
  <c r="R161" i="13"/>
  <c r="Z173" i="13" l="1"/>
  <c r="Z165" i="13"/>
  <c r="Z164" i="13"/>
  <c r="R162" i="13"/>
  <c r="R163" i="13" l="1"/>
  <c r="R165" i="13" l="1"/>
  <c r="R164"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<sst xmlns="http://schemas.openxmlformats.org/spreadsheetml/2006/main" count="476" uniqueCount="254">
  <si>
    <t> </t>
  </si>
  <si>
    <t xml:space="preserve">Region 1 </t>
  </si>
  <si>
    <t>Region 2</t>
  </si>
  <si>
    <t xml:space="preserve">Region 3 </t>
  </si>
  <si>
    <t>Region 4</t>
  </si>
  <si>
    <t xml:space="preserve">Region 5 </t>
  </si>
  <si>
    <t xml:space="preserve">Region 6 </t>
  </si>
  <si>
    <t>Census, July 1, 2021</t>
  </si>
  <si>
    <t>Census, July 1, 2020</t>
  </si>
  <si>
    <t>Census, July 1, 2019</t>
  </si>
  <si>
    <t xml:space="preserve">Percent over age 18  </t>
  </si>
  <si>
    <t>Percent age 65 and older</t>
  </si>
  <si>
    <t>Housing Units</t>
  </si>
  <si>
    <t>Owner-Occupied Housing Units</t>
  </si>
  <si>
    <t>Median Value of Owner-Occupied Housing Units</t>
  </si>
  <si>
    <t xml:space="preserve">Ꝕ 260,765 </t>
  </si>
  <si>
    <t xml:space="preserve"> Ꝕ 248,083 </t>
  </si>
  <si>
    <t xml:space="preserve"> Ꝕ 221,267 </t>
  </si>
  <si>
    <t xml:space="preserve"> Ꝕ 121,135 </t>
  </si>
  <si>
    <t xml:space="preserve"> Ꝕ 158,255 </t>
  </si>
  <si>
    <t xml:space="preserve"> Ꝕ 175,164 </t>
  </si>
  <si>
    <t>Median Monthly Homeowner Housing Costs</t>
  </si>
  <si>
    <t xml:space="preserve">Ꝕ 1,726 </t>
  </si>
  <si>
    <t xml:space="preserve"> Ꝕ 1,644 </t>
  </si>
  <si>
    <t xml:space="preserve"> Ꝕ 1,731 </t>
  </si>
  <si>
    <t xml:space="preserve"> Ꝕ 1,474 </t>
  </si>
  <si>
    <t xml:space="preserve"> Ꝕ 1,438 </t>
  </si>
  <si>
    <t xml:space="preserve"> Ꝕ 1,486 </t>
  </si>
  <si>
    <t>Median Rent</t>
  </si>
  <si>
    <t xml:space="preserve">Ꝕ 1,260 </t>
  </si>
  <si>
    <t xml:space="preserve"> Ꝕ 1,287 </t>
  </si>
  <si>
    <t xml:space="preserve"> Ꝕ 1,318 </t>
  </si>
  <si>
    <t xml:space="preserve"> Ꝕ 923 </t>
  </si>
  <si>
    <t xml:space="preserve"> Ꝕ 1,068 </t>
  </si>
  <si>
    <t xml:space="preserve"> Ꝕ 882 </t>
  </si>
  <si>
    <t>Building Permits, 2021</t>
  </si>
  <si>
    <t>Labor Force (percent over age 16 and older), 2016-2020</t>
  </si>
  <si>
    <t>Total accommodation and food services sales, 2017 (Ꝕ1,000)</t>
  </si>
  <si>
    <t>Total health care and social assistance receipts/revenue, 2017 (Ꝕ1,000)</t>
  </si>
  <si>
    <t>Total transportation and warehousing receipts/revenue, 2017 (Ꝕ1,000)</t>
  </si>
  <si>
    <t>Total retail sales, 2017 (Ꝕ1,000)</t>
  </si>
  <si>
    <t>Total retail sales per capita, 2017</t>
  </si>
  <si>
    <t xml:space="preserve">Ꝕ 19,811 </t>
  </si>
  <si>
    <t xml:space="preserve"> Ꝕ 26,171 </t>
  </si>
  <si>
    <t xml:space="preserve"> Ꝕ 17,558 </t>
  </si>
  <si>
    <t xml:space="preserve"> Ꝕ 15,350 </t>
  </si>
  <si>
    <t xml:space="preserve"> Ꝕ 13,758 </t>
  </si>
  <si>
    <t xml:space="preserve"> Ꝕ 6,959 </t>
  </si>
  <si>
    <t>Households, 2016-2020</t>
  </si>
  <si>
    <t>Persons per Household, 2016-2020</t>
  </si>
  <si>
    <t>Median Household Income</t>
  </si>
  <si>
    <t xml:space="preserve">Ꝕ 82,459 </t>
  </si>
  <si>
    <t xml:space="preserve"> Ꝕ 68,123 </t>
  </si>
  <si>
    <t xml:space="preserve"> Ꝕ 71,916 </t>
  </si>
  <si>
    <t xml:space="preserve"> Ꝕ 48,615 </t>
  </si>
  <si>
    <t xml:space="preserve"> Ꝕ 61,518 </t>
  </si>
  <si>
    <t xml:space="preserve"> Ꝕ 69,340 </t>
  </si>
  <si>
    <t>Prior Year Per Capita Income</t>
  </si>
  <si>
    <t xml:space="preserve">Ꝕ 45,482 </t>
  </si>
  <si>
    <t xml:space="preserve"> Ꝕ 38,381 </t>
  </si>
  <si>
    <t xml:space="preserve"> Ꝕ 40,937 </t>
  </si>
  <si>
    <t xml:space="preserve"> Ꝕ 28,186 </t>
  </si>
  <si>
    <t xml:space="preserve"> Ꝕ 32,418 </t>
  </si>
  <si>
    <t xml:space="preserve"> Ꝕ 35,948 </t>
  </si>
  <si>
    <t>Persons in poverty, percent</t>
  </si>
  <si>
    <t>Total Number of Employers, 2020</t>
  </si>
  <si>
    <t>Total Employment, 2020</t>
  </si>
  <si>
    <t>Total Annual Payroll (Ꝕ1,000)</t>
  </si>
  <si>
    <t>Population per hectare</t>
  </si>
  <si>
    <t>Land area in hectares</t>
  </si>
  <si>
    <t>GDP, 2020 (Ꝕ1,000 )</t>
  </si>
  <si>
    <t>GDP, 2019 (Ꝕ1,000 )</t>
  </si>
  <si>
    <t>Temporary housing cost with disaster (per person per month)</t>
  </si>
  <si>
    <t>Estimated average property value distribution</t>
  </si>
  <si>
    <t>Property Value distribution &lt;Ꝕ50K</t>
  </si>
  <si>
    <t>Property Value distribution Ꝕ50K-Ꝕ99K</t>
  </si>
  <si>
    <t>Property Value distribution Ꝕ100K-Ꝕ149K</t>
  </si>
  <si>
    <t>Property Value distribution Ꝕ150K-Ꝕ199K</t>
  </si>
  <si>
    <t>Property Value distribution Ꝕ200K-Ꝕ249K</t>
  </si>
  <si>
    <t>Property Value distribution Ꝕ250K-Ꝕ299K</t>
  </si>
  <si>
    <t>Property Value distribution Ꝕ300K-Ꝕ399K</t>
  </si>
  <si>
    <t>Property Value distribution Ꝕ400K-Ꝕ499K</t>
  </si>
  <si>
    <t>Property Value distribution Ꝕ500K-Ꝕ749K</t>
  </si>
  <si>
    <t>Property Value distribution Ꝕ750K-Ꝕ999K</t>
  </si>
  <si>
    <t>Property Value distribution Ꝕ1M-Ꝕ1.499K</t>
  </si>
  <si>
    <t>Property Value distribution Ꝕ1.5M-Ꝕ1.99M</t>
  </si>
  <si>
    <t>Property Value distribution &gt;=Ꝕ2M</t>
  </si>
  <si>
    <t>Weighted Average Property Value</t>
  </si>
  <si>
    <t>Year</t>
  </si>
  <si>
    <t>Inflation</t>
  </si>
  <si>
    <t>Government Overnight Bank Lending Rate</t>
  </si>
  <si>
    <t>1-yr risk free rate</t>
  </si>
  <si>
    <t>10-yr risk free rate</t>
  </si>
  <si>
    <t>Average Inflation rate</t>
  </si>
  <si>
    <t>Four of the IPCC's SSP Scenarios for Future Atmospheric CO2 Concentrations, Worldwide Population, and GDP</t>
  </si>
  <si>
    <t>The scenarios produced by the Intergovernmental Panel on Climate Change (IPCC) are referred to as Shared Socioeconomic Pathways (SSPs). The SSPs reflect assumptions about population growth, economic growth, the use of sustainable energy sources versus fossil fuels, as well as other factors which, collectively, lead to a prediction for the trajectory of Green House Gas (GHG) emissions and the resulting atmospheric Carbon Dioxide (CO2) concentrations.</t>
  </si>
  <si>
    <t>https://ourworldindata.org/explorers/ipcc-scenarios</t>
  </si>
  <si>
    <t>Scenarios</t>
  </si>
  <si>
    <t>SSP1‒2.6</t>
  </si>
  <si>
    <t>Low Emissions</t>
  </si>
  <si>
    <t>SSP2‒3.4</t>
  </si>
  <si>
    <t>Medium Emissions</t>
  </si>
  <si>
    <t>SSP3‒6.0</t>
  </si>
  <si>
    <t>High Emissions</t>
  </si>
  <si>
    <t>SSP5‒Baseline</t>
  </si>
  <si>
    <t>Very High Emissions</t>
  </si>
  <si>
    <t>Atmospheric CO2 in Parts per Million</t>
  </si>
  <si>
    <t>World Population (Billions)</t>
  </si>
  <si>
    <t>Worldwide GDP (Trillions $US)</t>
  </si>
  <si>
    <t>GDP Per Capita ($US)</t>
  </si>
  <si>
    <t>SSP1‒
2.6</t>
  </si>
  <si>
    <t>SSP2‒
3.4</t>
  </si>
  <si>
    <t>SSP3‒
6.0</t>
  </si>
  <si>
    <t>SSP5‒ Baseline</t>
  </si>
  <si>
    <t>Note: The IPCC's SSP dataset shows projections through 2100. The amounts for 2110 through 2150 were developed by the Society of Actuaries Research Institute solely for the 2023 Student Research Case Study Challenge.</t>
  </si>
  <si>
    <t>For your information, the explanations below have been copied from the website https://ourworldindata.org/explorers/ipcc-scenarios</t>
  </si>
  <si>
    <t>What are the Shared Socioeconomic Pathways (SSPs)?</t>
  </si>
  <si>
    <t>The Shared Socioeconomic Pathways are a set of scenarios which are central to the work of the UN climate reports produced by the Intergovernmental Panel on Climate Change (IPCC).</t>
  </si>
  <si>
    <t>Why are these scenarios so important for the IPCC report?</t>
  </si>
  <si>
    <t>• How much greenhouse gas emissions the world emits in the coming decades is unknown. It is up to us. It will depend on what people around the world will do now and in the future.</t>
  </si>
  <si>
    <t>• In this situation, it’s helpful to create scenarios that cover a range of possible futures. This is what the ‘Shared Socioeconomic Pathways’ (SSPs) are. SSPs are the possible futures that climate</t>
  </si>
  <si>
    <t xml:space="preserve">   researchers in the IPCC consider in their models.</t>
  </si>
  <si>
    <r>
      <rPr>
        <sz val="11"/>
        <color rgb="FF000000"/>
        <rFont val="Calibri Light"/>
      </rPr>
      <t>• SSPs </t>
    </r>
    <r>
      <rPr>
        <i/>
        <sz val="11"/>
        <color rgb="FF000000"/>
        <rFont val="Calibri Light"/>
      </rPr>
      <t>do not</t>
    </r>
    <r>
      <rPr>
        <sz val="11"/>
        <color rgb="FF000000"/>
        <rFont val="Calibri Light"/>
      </rPr>
      <t> tell us what the world </t>
    </r>
    <r>
      <rPr>
        <i/>
        <sz val="11"/>
        <color rgb="FF000000"/>
        <rFont val="Calibri Light"/>
      </rPr>
      <t>will</t>
    </r>
    <r>
      <rPr>
        <sz val="11"/>
        <color rgb="FF000000"/>
        <rFont val="Calibri Light"/>
      </rPr>
      <t> look like. Instead, they tell us what the world </t>
    </r>
    <r>
      <rPr>
        <i/>
        <sz val="11"/>
        <color rgb="FF000000"/>
        <rFont val="Calibri Light"/>
      </rPr>
      <t>could</t>
    </r>
    <r>
      <rPr>
        <sz val="11"/>
        <color rgb="FF000000"/>
        <rFont val="Calibri Light"/>
      </rPr>
      <t> look like.</t>
    </r>
  </si>
  <si>
    <t>• The key aspect of these scenarios is the emissions of greenhouse gases that result. This is the key aspect because that what will determine the future of the climate.</t>
  </si>
  <si>
    <t>• To understand how our emissions might evolve we need to know how the world might change from a socioeconomic and technological perspective. These scenarios therefore differ in their</t>
  </si>
  <si>
    <t xml:space="preserve">    assumptions about socioeconomic and technological development in the coming decades.</t>
  </si>
  <si>
    <t>• The socioeconomic and technological factors that the SSPs include are: population growth, economic growth, urbanization, trade, energy, and agricultural systems. You find all them in the</t>
  </si>
  <si>
    <t xml:space="preserve">    Data Explorer above.</t>
  </si>
  <si>
    <t>• For more details on how SSPs are constructed, Zeke Hausfather has written (https://www.carbonbrief.org/explainer-how-shared-socioeconomic-pathways-explore-future-climate-change/)</t>
  </si>
  <si>
    <t>   an excellent explainer for Carbon Brief on this topic.</t>
  </si>
  <si>
    <t>Summaries of the five Shared Socioeconomic Pathways</t>
  </si>
  <si>
    <r>
      <rPr>
        <sz val="11"/>
        <color rgb="FF000000"/>
        <rFont val="Calibri Light"/>
        <family val="2"/>
      </rPr>
      <t>There are five key SSPs that are used in the research, and adopted by the IPCC. Below we provide the full description – as given by the IPCC – of these futures. In summary, </t>
    </r>
    <r>
      <rPr>
        <b/>
        <sz val="11"/>
        <color rgb="FF000000"/>
        <rFont val="Calibri Light"/>
        <family val="2"/>
      </rPr>
      <t>SSP1</t>
    </r>
    <r>
      <rPr>
        <sz val="11"/>
        <color rgb="FF000000"/>
        <rFont val="Calibri Light"/>
        <family val="2"/>
      </rPr>
      <t> provides the most positive scenario for both human development and environmental action. We continue to see improvements in education (https://ourworldindata.org/children-not-in-school) and health (https://ourworldindata.org/life-expectancy-globally) across the world; large reductions in poverty; and a shrinking in global inequalities. This is a scenario in which the researchers at the same time envision that the world is moving into a much more sustainable direction. </t>
    </r>
    <r>
      <rPr>
        <b/>
        <sz val="11"/>
        <color rgb="FF000000"/>
        <rFont val="Calibri Light"/>
        <family val="2"/>
      </rPr>
      <t>SSP5</t>
    </r>
    <r>
      <rPr>
        <sz val="11"/>
        <color rgb="FF000000"/>
        <rFont val="Calibri Light"/>
        <family val="2"/>
      </rPr>
      <t xml:space="preserve"> is similarly optimistic in terms of human development, but achieves this through a large growth in fossil fuels. This is therefore leading to continued large negative effects on the environment. </t>
    </r>
    <r>
      <rPr>
        <b/>
        <sz val="11"/>
        <color rgb="FF000000"/>
        <rFont val="Calibri Light"/>
        <family val="2"/>
      </rPr>
      <t>SSP3</t>
    </r>
    <r>
      <rPr>
        <sz val="11"/>
        <color rgb="FF000000"/>
        <rFont val="Calibri Light"/>
        <family val="2"/>
      </rPr>
      <t> and </t>
    </r>
    <r>
      <rPr>
        <b/>
        <sz val="11"/>
        <color rgb="FF000000"/>
        <rFont val="Calibri Light"/>
        <family val="2"/>
      </rPr>
      <t>SSP4</t>
    </r>
    <r>
      <rPr>
        <sz val="11"/>
        <color rgb="FF000000"/>
        <rFont val="Calibri Light"/>
        <family val="2"/>
      </rPr>
      <t> are pessimistic about development: they envision a divided future with high levels of nationalism and large persistent global inequalities as a result. </t>
    </r>
    <r>
      <rPr>
        <b/>
        <sz val="11"/>
        <color rgb="FF000000"/>
        <rFont val="Calibri Light"/>
        <family val="2"/>
      </rPr>
      <t>SSP2</t>
    </r>
    <r>
      <rPr>
        <sz val="11"/>
        <color rgb="FF000000"/>
        <rFont val="Calibri Light"/>
        <family val="2"/>
      </rPr>
      <t> sits in the middle of these scenarios: development is not as slow or divided as in SSP3 and SSP4, but progress is slow and unequal.</t>
    </r>
  </si>
  <si>
    <t>Complete descriptions of the five Shared Socioeconomic Pathways</t>
  </si>
  <si>
    <t>These are the full descriptions of the SSP narratives, as described by the IPCC:</t>
  </si>
  <si>
    <t>SSP1: Sustainability – Taking the Green Road (Low challenges to mitigation and adaptation)</t>
  </si>
  <si>
    <t>“The world shifts gradually, but pervasively, toward a more sustainable path, emphasizing more inclusive development that respects perceived environmental boundaries. Management of the global commons slowly improves, educational and health investments accelerate the demographic transition, and the emphasis on economic growth shifts toward a broader emphasis on human well-being. Driven by an increasing commitment to achieving development goals, inequality is reduced both across and within countries. Consumption is oriented toward low material growth and lower resource and energy intensity.”</t>
  </si>
  <si>
    <t>SSP2: Middle of the Road (Medium challenges to mitigation and adaptation)</t>
  </si>
  <si>
    <t>“The world follows a path in which social, economic, and technological trends do not shift markedly from historical patterns. Development and income growth proceeds unevenly, with some countries making relatively good progress while others fall short of expectations. Global and national institutions work toward but make slow progress in achieving sustainable development goals. Environmental systems experience degradation, although there are some improvements and overall the intensity of resource and energy use declines. Global population growth is moderate and levels off in the second half of the century. Income inequality persists or improves only slowly and challenges to reducing vulnerability to societal and environmental changes remain.”</t>
  </si>
  <si>
    <t>SSP3: Regional Rivalry – A Rocky Road (High challenges to mitigation and adaptation)</t>
  </si>
  <si>
    <t>“A resurgent nationalism, concerns about competitiveness and security, and regional conflicts push countries to increasingly focus on domestic or, at most, regional issues. Policies shift over time to become increasingly oriented toward national and regional security issues. Countries focus on achieving energy and food security goals within their own regions at the expense of broader-based development. Investments in education and technological development decline. Economic development is slow, consumption is material-intensive, and inequalities persist or worsen over time. Population growth is low in industrialized and high in developing countries. A low international priority for addressing environmental concerns leads to strong environmental degradation in some regions.”</t>
  </si>
  <si>
    <t>SSP4 Inequality – A Road Divided (Low challenges to mitigation, high challenges to adaptation)</t>
  </si>
  <si>
    <t>“Highly unequal investments in human capital, combined with increasing disparities in economic opportunity and political power, lead to increasing inequalities and stratification both across and within countries. Over time, a gap widens between an internationally-connected society that contributes to knowledge- and capital-intensive sectors of the global economy, and a fragmented collection of lower-income, poorly educated societies that work in a labor-intensive, low-tech economy. Social cohesion degrades and conflict and unrest become increasingly common. Technology development is high in the high-tech economy and sectors. The globally connected energy sector diversifies, with investments in both carbon-intensive fuels like coal and unconventional oil, but also low-carbon energy sources. Environmental policies focus on local issues around middle and high-income areas.”</t>
  </si>
  <si>
    <t>SSP5 Fossil-Fueled Development – Taking the Highway (High challenges to mitigation, low challenges to adaptation)</t>
  </si>
  <si>
    <t>“This world places increasing faith in competitive markets, innovation and participatory societies to produce rapid technological progress and development of human capital as the path to sustainable development. Global markets are increasingly integrated. There are also strong investments in health, education, and institutions to enhance human and social capital. At the same time, the push for economic and social development is coupled with the exploitation of abundant fossil fuel resources and the adoption of resource and energy-intensive lifestyles around the world. All these factors lead to rapid growth of the global economy, while global population peaks and declines in the 21st century. Local environmental problems like air pollution are successfully managed. There is faith in the ability to effectively manage social and ecological systems, including by geo-engineering if necessary.”</t>
  </si>
  <si>
    <t>How are SSPs modeled to fit specific climate scenario outcomes?</t>
  </si>
  <si>
    <t>• Each of the five SSPs also have variations of each scenario that would deliver a particular climate target. These variations correspond to the level of radiative forcing that they would lead to. </t>
  </si>
  <si>
    <t>• Let’s take “SSP1 – 2.6” as an example.  You can do this for yourself by selecting “SSP1 – 2.6” in our explorer, and changing the metrics.</t>
  </si>
  <si>
    <t>• It is a scenario with the socioeconomic development pathway of SSP1 (the same scenario in terms of population and economic growth) that would lead to a forcing of 2.6 watts per meter squared. </t>
  </si>
  <si>
    <t>• To achieve that under these socioeconomic conditions would mean that something else would have to change to reduce emissions. For example, it lays out a future in which the world implements</t>
  </si>
  <si>
    <t xml:space="preserve">   a carbon price globally; or total energy consumption is lower because we improve efficiency; or we have more nuclear energy; or we have much more carbon capture and storage.</t>
  </si>
  <si>
    <t>• For some SSPs, the changes would have to be extreme to meet these climate pathways. For example, in SSP5 – the fossil-fuel-heavy development path – we would need a very high carbon price,</t>
  </si>
  <si>
    <t xml:space="preserve">    and lots of carbon capture and storage.</t>
  </si>
  <si>
    <t>What is the source of this data?</t>
  </si>
  <si>
    <t>• The data presented is sourced from the work of  Keywan Riahi et a. (2017), which brings together the results of independent researchers that have mapped out a range of socioeconomic scenarios</t>
  </si>
  <si>
    <t xml:space="preserve">   for how the world could change in the coming decades. Full citation below.</t>
  </si>
  <si>
    <t>• The underlying data from these scenarios – that we presented in our Explorer – is accessible from the SSP Database (https://tntcat.iiasa.ac.at/SspDb/dsd?Action=htmlpage&amp;page=welcome),</t>
  </si>
  <si>
    <t xml:space="preserve">   published and maintained by the International Institute for Applied Systems Analysis (IIASA).</t>
  </si>
  <si>
    <r>
      <rPr>
        <b/>
        <sz val="10"/>
        <color rgb="FF000000"/>
        <rFont val="Calibri Light"/>
        <family val="2"/>
      </rPr>
      <t>Full citation:</t>
    </r>
    <r>
      <rPr>
        <sz val="10"/>
        <color rgb="FF000000"/>
        <rFont val="Calibri Light"/>
        <family val="2"/>
      </rPr>
      <t xml:space="preserve"> 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Havlík,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 </t>
    </r>
    <r>
      <rPr>
        <i/>
        <sz val="10"/>
        <color rgb="FF000000"/>
        <rFont val="Calibri Light"/>
        <family val="2"/>
      </rPr>
      <t>The Shared Socioeconomic Pathways and Their Energy, Land Use, and Greenhouse Gas Emissions Implications: An overview, Global Environmental Change</t>
    </r>
    <r>
      <rPr>
        <sz val="10"/>
        <color rgb="FF000000"/>
        <rFont val="Calibri Light"/>
        <family val="2"/>
      </rPr>
      <t>, Volume 42, Pages 153-168 (2017). (https://www.sciencedirect.com/science/article/pii/S0959378016300681)</t>
    </r>
  </si>
  <si>
    <t>Copyright © 2023 by the Society of Actuaries Research Institute. All rights reserved.</t>
  </si>
  <si>
    <t>Frequency Projection Model of Minor, Medium, and Major Hazard Events Per Year, as a Function of SSP Scenario</t>
  </si>
  <si>
    <t>Illustrative Example</t>
  </si>
  <si>
    <t>One can view the values below either as the expected number of events per year, or as 1 divided by the "return period". An expectation of 0.25 implies a return period of 4 years (on average, an event occurs every 4 years).</t>
  </si>
  <si>
    <t>The purpose of this example is a simplified demonstration</t>
  </si>
  <si>
    <t>An expected value that exceeds 1.00 indicates a return period of less than one year. For example, an expectation of 3 events per year equates to a return period of 4 months.</t>
  </si>
  <si>
    <t>of how the projected number of future hazard events might</t>
  </si>
  <si>
    <r>
      <t xml:space="preserve">be developed from historical hazard event data. </t>
    </r>
    <r>
      <rPr>
        <i/>
        <sz val="11"/>
        <rFont val="Calibri Light"/>
        <family val="2"/>
      </rPr>
      <t>This example</t>
    </r>
  </si>
  <si>
    <t>INPUT</t>
  </si>
  <si>
    <t>is NOT PRESCRIPTIVE and is purposely very simple. Each team</t>
  </si>
  <si>
    <t>Enter the Expected Number</t>
  </si>
  <si>
    <t>may consider or use other approaches, methods, and/or</t>
  </si>
  <si>
    <t>Hazard Events in 2020</t>
  </si>
  <si>
    <t>assumptions.</t>
  </si>
  <si>
    <t>Minor</t>
  </si>
  <si>
    <t>The risk amplification factor (RAF) ties the change in risk</t>
  </si>
  <si>
    <t>Medium</t>
  </si>
  <si>
    <t>to the change in atmospheric CO2. The RAF is equal to</t>
  </si>
  <si>
    <t>Using the Historical Hazard Data, a user can define</t>
  </si>
  <si>
    <t>Major</t>
  </si>
  <si>
    <t>the square of A / B, where "A" is the projected future level</t>
  </si>
  <si>
    <t>breakpoints for Minor/Medium/Major hazard events.</t>
  </si>
  <si>
    <t>of CO2 and "B" is the level of CO2 in 2020.</t>
  </si>
  <si>
    <t>The following illustrative example projects an expected</t>
  </si>
  <si>
    <t>SSP1‒ 2.6</t>
  </si>
  <si>
    <t>number of hazard events in 2020 for Region 1 using:</t>
  </si>
  <si>
    <t>Risk Amplification Factor (RAF)</t>
  </si>
  <si>
    <t>• Per-event property damage cost breakpoints of</t>
  </si>
  <si>
    <t xml:space="preserve">   500,000 and 5,000,000</t>
  </si>
  <si>
    <t>• Simple average between 1990 and 2020</t>
  </si>
  <si>
    <t>• Ignores duration, fatalities, injuries and type of hazard event</t>
  </si>
  <si>
    <t>The result is a simple approximation that may be entered as</t>
  </si>
  <si>
    <t>starting inputs in model to the left.</t>
  </si>
  <si>
    <t>Average</t>
  </si>
  <si>
    <t>Rounded</t>
  </si>
  <si>
    <t>Historical Hazard Data</t>
  </si>
  <si>
    <t>Source of SSP scenarios for 2020 through 2100: 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Havlík,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 The Shared Socioeconomic Pathways and their energy, land use, and greenhouse gas emissions implications: An overview, Global Environmental Change, Volume 42, Pages 153-168 (2017).</t>
  </si>
  <si>
    <t>SSP scenarios for 2110 through 2150 were developed by the Society of Actuaries Research Institute solely for the 2023 Student Research Case Study Challenge.</t>
  </si>
  <si>
    <t>Census Projections using 2020 as base value of 1</t>
  </si>
  <si>
    <t>GDP Projections using 2020 as base value of 1</t>
  </si>
  <si>
    <t>GDP per capita projections using 2020 as base value of 1</t>
  </si>
  <si>
    <t>SSP1</t>
  </si>
  <si>
    <t>SSP2</t>
  </si>
  <si>
    <t>SSP3</t>
  </si>
  <si>
    <t>SSP5</t>
  </si>
  <si>
    <t>Data is based off the SSP Scenarios</t>
  </si>
  <si>
    <t>Expected Damage of Minor Hazards for 2020</t>
  </si>
  <si>
    <t>Expected damage of Medium Hazards for 2020</t>
  </si>
  <si>
    <t>Expected damage of Major Hazards for 2020</t>
  </si>
  <si>
    <t>Expected Property Damages for 2020</t>
  </si>
  <si>
    <t>Region</t>
  </si>
  <si>
    <t xml:space="preserve">Lower </t>
  </si>
  <si>
    <t>Upper</t>
  </si>
  <si>
    <t>Lower</t>
  </si>
  <si>
    <t>Expected Frequency of Minor Hazards for 2020</t>
  </si>
  <si>
    <t>Expected Frequency of Medium Hazards for 2020</t>
  </si>
  <si>
    <t>Expected Frequency of Major Hazards for 2020</t>
  </si>
  <si>
    <t xml:space="preserve">Region </t>
  </si>
  <si>
    <t xml:space="preserve">Upper </t>
  </si>
  <si>
    <t>Expected Severity of Minor Hazards for 2020</t>
  </si>
  <si>
    <t>Expected Severity of Medium Hazards for 2020</t>
  </si>
  <si>
    <t>Expected Severity of Major Hazards for 2020</t>
  </si>
  <si>
    <t>% of Damage for each hazard severity</t>
  </si>
  <si>
    <t xml:space="preserve">Medium </t>
  </si>
  <si>
    <t>Expected Minor Hazard Damages for 2020</t>
  </si>
  <si>
    <t>Expected Medium Hazard Damages for 2020</t>
  </si>
  <si>
    <t>Expected Major Hazard Damages for 2020</t>
  </si>
  <si>
    <t>Region 1</t>
  </si>
  <si>
    <t>Region 3</t>
  </si>
  <si>
    <t>Region 5</t>
  </si>
  <si>
    <t>Region 6</t>
  </si>
  <si>
    <t>Input Table</t>
  </si>
  <si>
    <t>Expected Property Damage</t>
  </si>
  <si>
    <t>lower, upper or average</t>
  </si>
  <si>
    <t>upper</t>
  </si>
  <si>
    <t xml:space="preserve">Minor event price surge </t>
  </si>
  <si>
    <t>Medium event price surge</t>
  </si>
  <si>
    <t>Major event price surge</t>
  </si>
  <si>
    <t>Housing duration for minor hazard</t>
  </si>
  <si>
    <t>Housing duration for medium hazard</t>
  </si>
  <si>
    <t>Housing duration for major hazard</t>
  </si>
  <si>
    <t>% cost of covering household goods minor</t>
  </si>
  <si>
    <t>% cost of covering household goods medium</t>
  </si>
  <si>
    <t>% cost of covering household goods major</t>
  </si>
  <si>
    <t>% of house damages required to be eligible</t>
  </si>
  <si>
    <t>Inflation Rate</t>
  </si>
  <si>
    <t>Census</t>
  </si>
  <si>
    <t>Estimated Total Occupied Housing Units Value</t>
  </si>
  <si>
    <t>Temporary Housing Costs (per person per month)</t>
  </si>
  <si>
    <t>Temporary Involuntary Relocation Costs</t>
  </si>
  <si>
    <t>Food Service + health care + transportation</t>
  </si>
  <si>
    <t>Covering Household Goods</t>
  </si>
  <si>
    <t>GDP (per 1000)</t>
  </si>
  <si>
    <t>Total Costs</t>
  </si>
  <si>
    <t>% of GDP</t>
  </si>
  <si>
    <t>Probably only need graph for upper, as it is clear that if we are able to account for the upper confidence interval, then the average and lower confidence interval will be sufficient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</si>
</sst>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0%"/>
    <numFmt numFmtId="168" formatCode="#,##0.00000"/>
  </numFmts>
  <fonts count="54">
    <font>
      <sz val="11"/>
      <color theme="1"/>
      <name val="Calibri"/>
      <family val="2"/>
      <scheme val="minor"/>
    </font>
    <font>
      <b/>
      <sz val="11"/>
      <color rgb="FFFFFFFF"/>
      <name val="Calibri"/>
      <family val="2"/>
    </font>
    <font>
      <sz val="11"/>
      <color rgb="FFFFFFFF"/>
      <name val="Calibri"/>
      <family val="2"/>
    </font>
    <font>
      <sz val="11"/>
      <color rgb="FF000000"/>
      <name val="Calibri Light"/>
      <family val="2"/>
    </font>
    <font>
      <sz val="10"/>
      <color rgb="FFC5C8C6"/>
      <name val="Lucida Console"/>
      <family val="3"/>
      <charset val="1"/>
    </font>
    <font>
      <sz val="11"/>
      <color theme="1"/>
      <name val="Calibri"/>
      <family val="2"/>
      <scheme val="minor"/>
    </font>
    <font>
      <sz val="11"/>
      <color rgb="FF444444"/>
      <name val="Calibri"/>
      <family val="2"/>
      <charset val="1"/>
    </font>
    <font>
      <b/>
      <sz val="11"/>
      <color theme="1"/>
      <name val="Calibri"/>
      <family val="2"/>
      <scheme val="minor"/>
    </font>
    <font>
      <sz val="11"/>
      <color rgb="FF000000"/>
      <name val="Calibri"/>
    </font>
    <font>
      <sz val="11"/>
      <color rgb="FF000000"/>
      <name val="Calibri"/>
      <family val="2"/>
      <scheme val="minor"/>
    </font>
    <font>
      <sz val="10"/>
      <color rgb="FF000000"/>
      <name val="Lucida Console"/>
      <family val="3"/>
      <charset val="1"/>
    </font>
    <font>
      <sz val="11"/>
      <color rgb="FF000000"/>
      <name val="Calibri"/>
      <family val="2"/>
      <charset val="1"/>
    </font>
    <font>
      <b/>
      <sz val="11"/>
      <color rgb="FF000000"/>
      <name val="Calibri"/>
      <family val="2"/>
      <scheme val="minor"/>
    </font>
    <font>
      <sz val="11"/>
      <name val="Calibri Light"/>
      <family val="2"/>
    </font>
    <font>
      <sz val="10"/>
      <name val="Calibri Light"/>
      <family val="2"/>
    </font>
    <font>
      <i/>
      <sz val="11"/>
      <name val="Calibri Light"/>
      <family val="2"/>
    </font>
    <font>
      <b/>
      <sz val="11"/>
      <color rgb="FF0070C0"/>
      <name val="Calibri Light"/>
      <family val="2"/>
    </font>
    <font>
      <b/>
      <sz val="11"/>
      <name val="Calibri"/>
      <family val="2"/>
    </font>
    <font>
      <b/>
      <sz val="11"/>
      <name val="Calibri Light"/>
      <family val="2"/>
    </font>
    <font>
      <sz val="11"/>
      <color theme="1"/>
      <name val="Calibri Light"/>
      <family val="2"/>
    </font>
    <font>
      <b/>
      <sz val="14"/>
      <color theme="4"/>
      <name val="Calibri Light"/>
      <family val="2"/>
    </font>
    <font>
      <b/>
      <sz val="11"/>
      <color theme="0"/>
      <name val="Calibri"/>
      <family val="2"/>
    </font>
    <font>
      <sz val="8"/>
      <color theme="1" tint="0.499984740745262"/>
      <name val="Calibri Light"/>
      <family val="2"/>
    </font>
    <font>
      <b/>
      <sz val="14"/>
      <color theme="1"/>
      <name val="Calibri Light"/>
      <family val="2"/>
    </font>
    <font>
      <sz val="11"/>
      <color theme="0"/>
      <name val="Calibri Light"/>
      <family val="2"/>
    </font>
    <font>
      <b/>
      <sz val="11"/>
      <color theme="4"/>
      <name val="Calibri Light"/>
      <family val="2"/>
    </font>
    <font>
      <b/>
      <sz val="11"/>
      <color rgb="FF000000"/>
      <name val="Calibri"/>
    </font>
    <font>
      <b/>
      <sz val="11"/>
      <color rgb="FF000000"/>
      <name val="Calibri"/>
      <family val="2"/>
      <charset val="1"/>
    </font>
    <font>
      <sz val="11"/>
      <color rgb="FF9C5700"/>
      <name val="Calibri"/>
      <scheme val="minor"/>
    </font>
    <font>
      <u/>
      <sz val="11"/>
      <color theme="10"/>
      <name val="Calibri"/>
      <family val="2"/>
      <scheme val="minor"/>
    </font>
    <font>
      <u/>
      <sz val="11"/>
      <color theme="10"/>
      <name val="Calibri Light"/>
      <family val="2"/>
    </font>
    <font>
      <b/>
      <sz val="11"/>
      <color theme="4"/>
      <name val="Calibri"/>
      <family val="2"/>
    </font>
    <font>
      <b/>
      <sz val="11"/>
      <color rgb="FF000000"/>
      <name val="Calibri Light"/>
      <family val="2"/>
    </font>
    <font>
      <sz val="8"/>
      <color rgb="FF000000"/>
      <name val="Calibri Light"/>
      <family val="2"/>
    </font>
    <font>
      <b/>
      <sz val="11"/>
      <color rgb="FFC00000"/>
      <name val="Calibri Light"/>
      <family val="2"/>
    </font>
    <font>
      <b/>
      <sz val="12"/>
      <color theme="4"/>
      <name val="Calibri"/>
      <family val="2"/>
    </font>
    <font>
      <sz val="11"/>
      <color rgb="FF000000"/>
      <name val="Calibri Light"/>
    </font>
    <font>
      <i/>
      <sz val="11"/>
      <color rgb="FF000000"/>
      <name val="Calibri Light"/>
    </font>
    <font>
      <i/>
      <sz val="11"/>
      <color rgb="FF000000"/>
      <name val="Calibri Light"/>
      <family val="2"/>
    </font>
    <font>
      <b/>
      <sz val="10"/>
      <color rgb="FF000000"/>
      <name val="Calibri Light"/>
      <family val="2"/>
    </font>
    <font>
      <sz val="10"/>
      <color rgb="FF000000"/>
      <name val="Calibri Light"/>
      <family val="2"/>
    </font>
    <font>
      <i/>
      <sz val="10"/>
      <color rgb="FF000000"/>
      <name val="Calibri Light"/>
      <family val="2"/>
    </font>
    <font>
      <b/>
      <sz val="10"/>
      <color rgb="FF000000"/>
      <name val="Calibri Light"/>
    </font>
    <font>
      <b/>
      <sz val="11"/>
      <name val="Calibri"/>
    </font>
    <font>
      <sz val="11"/>
      <name val="Calibri"/>
    </font>
    <font>
      <sz val="11"/>
      <color theme="1"/>
      <name val="Calibri"/>
    </font>
    <font>
      <sz val="11"/>
      <color rgb="FFFFFFFF"/>
      <name val="Calibri"/>
      <family val="2"/>
      <scheme val="minor"/>
    </font>
    <font>
      <b/>
      <sz val="11"/>
      <color rgb="FFFFFFFF"/>
      <name val="Calibri"/>
      <family val="2"/>
      <scheme val="minor"/>
    </font>
    <font>
      <b/>
      <sz val="11"/>
      <color rgb="FF000000"/>
      <name val="Calibri"/>
      <family val="2"/>
    </font>
    <font>
      <sz val="10"/>
      <color rgb="FF000000"/>
      <name val="Calibri"/>
    </font>
    <font>
      <b/>
      <sz val="10"/>
      <color rgb="FF000000"/>
      <name val="Calibri"/>
    </font>
    <font>
      <sz val="11"/>
      <color rgb="FF444444"/>
      <name val="Calibri"/>
      <charset val="1"/>
    </font>
    <font>
      <sz val="11"/>
      <color rgb="FF9C5700"/>
      <name val="Calibri"/>
      <family val="2"/>
      <scheme val="minor"/>
    </font>
    <font>
      <sz val="11"/>
      <color rgb="FFFF0000"/>
      <name val="Calibri"/>
      <family val="2"/>
      <scheme val="minor"/>
    </font>
  </fonts>
  <fills count="20">
    <fill>
      <patternFill patternType="none"/>
    </fill>
    <fill>
      <patternFill patternType="gray125"/>
    </fill>
    <fill>
      <patternFill patternType="solid">
        <fgColor rgb="FF4472C4"/>
        <bgColor rgb="FF000000"/>
      </patternFill>
    </fill>
    <fill>
      <patternFill patternType="solid">
        <fgColor rgb="FFF2F2F2"/>
        <bgColor rgb="FF000000"/>
      </patternFill>
    </fill>
    <fill>
      <patternFill patternType="solid">
        <fgColor rgb="FFFFFFFF"/>
        <bgColor rgb="FF000000"/>
      </patternFill>
    </fill>
    <fill>
      <patternFill patternType="solid">
        <fgColor theme="0"/>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7" tint="0.59999389629810485"/>
        <bgColor indexed="64"/>
      </patternFill>
    </fill>
    <fill>
      <patternFill patternType="solid">
        <fgColor theme="4"/>
        <bgColor rgb="FF000000"/>
      </patternFill>
    </fill>
    <fill>
      <patternFill patternType="solid">
        <fgColor rgb="FFFFEB9C"/>
      </patternFill>
    </fill>
    <fill>
      <patternFill patternType="solid">
        <fgColor theme="2"/>
        <bgColor indexed="64"/>
      </patternFill>
    </fill>
    <fill>
      <patternFill patternType="solid">
        <fgColor rgb="FFDDEBF7"/>
        <bgColor indexed="64"/>
      </patternFill>
    </fill>
    <fill>
      <patternFill patternType="solid">
        <fgColor rgb="FF4472C4"/>
        <bgColor indexed="64"/>
      </patternFill>
    </fill>
    <fill>
      <patternFill patternType="solid">
        <fgColor rgb="FFF2F2F2"/>
        <bgColor indexed="64"/>
      </patternFill>
    </fill>
    <fill>
      <patternFill patternType="solid">
        <fgColor rgb="FFFFFFFF"/>
        <bgColor indexed="64"/>
      </patternFill>
    </fill>
    <fill>
      <patternFill patternType="solid">
        <fgColor theme="0" tint="-0.14999847407452621"/>
        <bgColor theme="0" tint="-0.14999847407452621"/>
      </patternFill>
    </fill>
    <fill>
      <patternFill patternType="solid">
        <fgColor rgb="FFE7E6E6"/>
        <bgColor indexed="64"/>
      </patternFill>
    </fill>
    <fill>
      <patternFill patternType="solid">
        <fgColor rgb="FFB4C6E7"/>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style="hair">
        <color rgb="FF0070C0"/>
      </left>
      <right style="hair">
        <color rgb="FF0070C0"/>
      </right>
      <top style="hair">
        <color rgb="FF0070C0"/>
      </top>
      <bottom style="hair">
        <color rgb="FF0070C0"/>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ashed">
        <color theme="0" tint="-0.24994659260841701"/>
      </bottom>
      <diagonal/>
    </border>
    <border>
      <left/>
      <right/>
      <top/>
      <bottom style="hair">
        <color indexed="64"/>
      </bottom>
      <diagonal/>
    </border>
    <border>
      <left style="thin">
        <color rgb="FF000000"/>
      </left>
      <right/>
      <top/>
      <bottom/>
      <diagonal/>
    </border>
    <border>
      <left/>
      <right style="thin">
        <color rgb="FF000000"/>
      </right>
      <top/>
      <bottom/>
      <diagonal/>
    </border>
    <border>
      <left style="thin">
        <color rgb="FF000000"/>
      </left>
      <right/>
      <top/>
      <bottom style="hair">
        <color indexed="64"/>
      </bottom>
      <diagonal/>
    </border>
    <border>
      <left/>
      <right style="thin">
        <color rgb="FF000000"/>
      </right>
      <top/>
      <bottom style="hair">
        <color indexed="64"/>
      </bottom>
      <diagonal/>
    </border>
    <border>
      <left style="thin">
        <color rgb="FF000000"/>
      </left>
      <right/>
      <top style="hair">
        <color indexed="64"/>
      </top>
      <bottom/>
      <diagonal/>
    </border>
    <border>
      <left/>
      <right style="thin">
        <color rgb="FF000000"/>
      </right>
      <top style="hair">
        <color indexed="64"/>
      </top>
      <bottom/>
      <diagonal/>
    </border>
    <border>
      <left/>
      <right/>
      <top/>
      <bottom style="thin">
        <color theme="1"/>
      </bottom>
      <diagonal/>
    </border>
    <border>
      <left/>
      <right/>
      <top style="thin">
        <color theme="1"/>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indexed="64"/>
      </right>
      <top style="thin">
        <color rgb="FF000000"/>
      </top>
      <bottom/>
      <diagonal/>
    </border>
  </borders>
  <cellStyleXfs count="4">
    <xf numFmtId="0" fontId="0" fillId="0" borderId="0"/>
    <xf numFmtId="9" fontId="5" fillId="0" borderId="0" applyFont="0" applyFill="0" applyBorder="0" applyAlignment="0" applyProtection="0"/>
    <xf numFmtId="0" fontId="28" fillId="11" borderId="0" applyNumberFormat="0" applyBorder="0" applyAlignment="0" applyProtection="0"/>
    <xf numFmtId="0" fontId="29" fillId="0" borderId="0" applyNumberFormat="0" applyFill="0" applyBorder="0" applyAlignment="0" applyProtection="0"/>
  </cellStyleXfs>
  <cellXfs count="287">
    <xf numFmtId="0" fontId="0" fillId="0" borderId="0" xfId="0"/>
    <xf numFmtId="0" fontId="1" fillId="2" borderId="0" xfId="0" applyFont="1" applyFill="1"/>
    <xf numFmtId="0" fontId="2" fillId="2" borderId="0" xfId="0" applyFont="1" applyFill="1"/>
    <xf numFmtId="0" fontId="3" fillId="3" borderId="0" xfId="0" applyFont="1" applyFill="1"/>
    <xf numFmtId="3" fontId="3" fillId="3" borderId="0" xfId="0" applyNumberFormat="1" applyFont="1" applyFill="1"/>
    <xf numFmtId="0" fontId="3" fillId="4" borderId="0" xfId="0" applyFont="1" applyFill="1"/>
    <xf numFmtId="3" fontId="3" fillId="4" borderId="0" xfId="0" applyNumberFormat="1" applyFont="1" applyFill="1"/>
    <xf numFmtId="10" fontId="3" fillId="3" borderId="0" xfId="0" applyNumberFormat="1" applyFont="1" applyFill="1"/>
    <xf numFmtId="10" fontId="3" fillId="4" borderId="0" xfId="0" applyNumberFormat="1" applyFont="1" applyFill="1"/>
    <xf numFmtId="0" fontId="1" fillId="2" borderId="0" xfId="0" applyFont="1" applyFill="1" applyAlignment="1">
      <alignment wrapText="1"/>
    </xf>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3" fillId="5" borderId="0" xfId="0" applyFont="1" applyFill="1"/>
    <xf numFmtId="0" fontId="13" fillId="5" borderId="0" xfId="0" applyFont="1" applyFill="1" applyAlignment="1">
      <alignment vertical="top"/>
    </xf>
    <xf numFmtId="0" fontId="21" fillId="6" borderId="0" xfId="0" applyFont="1" applyFill="1"/>
    <xf numFmtId="0" fontId="22" fillId="5" borderId="0" xfId="0" applyFont="1" applyFill="1"/>
    <xf numFmtId="0" fontId="22" fillId="5" borderId="0" xfId="0" applyFont="1" applyFill="1" applyAlignment="1">
      <alignment horizontal="right"/>
    </xf>
    <xf numFmtId="0" fontId="14" fillId="5" borderId="0" xfId="0" applyFont="1" applyFill="1"/>
    <xf numFmtId="0" fontId="20" fillId="5" borderId="0" xfId="0" applyFont="1" applyFill="1" applyAlignment="1">
      <alignment vertical="top"/>
    </xf>
    <xf numFmtId="0" fontId="13" fillId="7" borderId="0" xfId="0" applyFont="1" applyFill="1"/>
    <xf numFmtId="0" fontId="20" fillId="7" borderId="0" xfId="0" applyFont="1" applyFill="1"/>
    <xf numFmtId="0" fontId="23" fillId="7" borderId="0" xfId="0" applyFont="1" applyFill="1"/>
    <xf numFmtId="0" fontId="13" fillId="8" borderId="0" xfId="0" applyFont="1" applyFill="1"/>
    <xf numFmtId="0" fontId="13" fillId="7" borderId="0" xfId="0" applyFont="1" applyFill="1" applyAlignment="1">
      <alignment vertical="top"/>
    </xf>
    <xf numFmtId="0" fontId="16" fillId="9" borderId="1" xfId="0" applyFont="1" applyFill="1" applyBorder="1"/>
    <xf numFmtId="0" fontId="13" fillId="9" borderId="2" xfId="0" applyFont="1" applyFill="1" applyBorder="1"/>
    <xf numFmtId="0" fontId="13" fillId="9" borderId="3" xfId="0" applyFont="1" applyFill="1" applyBorder="1"/>
    <xf numFmtId="0" fontId="15" fillId="7" borderId="0" xfId="0" quotePrefix="1" applyFont="1" applyFill="1" applyAlignment="1">
      <alignment vertical="top"/>
    </xf>
    <xf numFmtId="0" fontId="15" fillId="7" borderId="0" xfId="0" applyFont="1" applyFill="1" applyAlignment="1">
      <alignment vertical="top"/>
    </xf>
    <xf numFmtId="0" fontId="17" fillId="9" borderId="7" xfId="0" applyFont="1" applyFill="1" applyBorder="1" applyAlignment="1">
      <alignment horizontal="left" indent="1"/>
    </xf>
    <xf numFmtId="0" fontId="18" fillId="9" borderId="0" xfId="0" applyFont="1" applyFill="1"/>
    <xf numFmtId="0" fontId="13" fillId="9" borderId="0" xfId="0" applyFont="1" applyFill="1"/>
    <xf numFmtId="0" fontId="13" fillId="9" borderId="9" xfId="0" applyFont="1" applyFill="1" applyBorder="1"/>
    <xf numFmtId="0" fontId="13" fillId="9" borderId="7" xfId="0" applyFont="1" applyFill="1" applyBorder="1" applyAlignment="1">
      <alignment horizontal="left" indent="1"/>
    </xf>
    <xf numFmtId="164" fontId="16" fillId="9" borderId="8" xfId="0" applyNumberFormat="1" applyFont="1" applyFill="1" applyBorder="1" applyAlignment="1" applyProtection="1">
      <alignment horizontal="center"/>
      <protection locked="0"/>
    </xf>
    <xf numFmtId="0" fontId="15" fillId="8" borderId="0" xfId="0" applyFont="1" applyFill="1" applyAlignment="1">
      <alignment vertical="top" wrapText="1"/>
    </xf>
    <xf numFmtId="0" fontId="19" fillId="7" borderId="0" xfId="0" applyFont="1" applyFill="1"/>
    <xf numFmtId="0" fontId="13" fillId="9" borderId="12" xfId="0" applyFont="1" applyFill="1" applyBorder="1"/>
    <xf numFmtId="0" fontId="13" fillId="9" borderId="13" xfId="0" applyFont="1" applyFill="1" applyBorder="1"/>
    <xf numFmtId="0" fontId="13" fillId="9" borderId="14" xfId="0" applyFont="1" applyFill="1" applyBorder="1"/>
    <xf numFmtId="0" fontId="13" fillId="8" borderId="0" xfId="0" applyFont="1" applyFill="1" applyAlignment="1">
      <alignment horizontal="left" vertical="top"/>
    </xf>
    <xf numFmtId="0" fontId="24" fillId="6" borderId="0" xfId="0" applyFont="1" applyFill="1"/>
    <xf numFmtId="0" fontId="21" fillId="6" borderId="0" xfId="0" applyFont="1" applyFill="1" applyAlignment="1">
      <alignment horizontal="center"/>
    </xf>
    <xf numFmtId="0" fontId="21" fillId="6" borderId="15" xfId="0" applyFont="1" applyFill="1" applyBorder="1" applyAlignment="1">
      <alignment horizontal="center"/>
    </xf>
    <xf numFmtId="0" fontId="21" fillId="10" borderId="0" xfId="0" applyFont="1" applyFill="1" applyAlignment="1">
      <alignment horizontal="center"/>
    </xf>
    <xf numFmtId="0" fontId="13" fillId="8" borderId="0" xfId="0" applyFont="1" applyFill="1" applyAlignment="1">
      <alignment horizontal="right"/>
    </xf>
    <xf numFmtId="164" fontId="13" fillId="8" borderId="0" xfId="0" applyNumberFormat="1" applyFont="1" applyFill="1" applyAlignment="1">
      <alignment horizontal="center"/>
    </xf>
    <xf numFmtId="2" fontId="13" fillId="8" borderId="0" xfId="0" applyNumberFormat="1" applyFont="1" applyFill="1" applyAlignment="1">
      <alignment horizontal="center"/>
    </xf>
    <xf numFmtId="0" fontId="18" fillId="8" borderId="0" xfId="0" applyFont="1" applyFill="1"/>
    <xf numFmtId="0" fontId="13" fillId="8" borderId="0" xfId="0" applyFont="1" applyFill="1" applyAlignment="1">
      <alignment horizontal="center"/>
    </xf>
    <xf numFmtId="0" fontId="25" fillId="8" borderId="0" xfId="0" applyFont="1" applyFill="1" applyAlignment="1">
      <alignment vertical="center"/>
    </xf>
    <xf numFmtId="0" fontId="13" fillId="8" borderId="0" xfId="0" applyFont="1" applyFill="1" applyAlignment="1">
      <alignment vertical="center"/>
    </xf>
    <xf numFmtId="0" fontId="13" fillId="0" borderId="0" xfId="0" applyFont="1"/>
    <xf numFmtId="0" fontId="9" fillId="0" borderId="19" xfId="0" applyFont="1" applyBorder="1"/>
    <xf numFmtId="0" fontId="11" fillId="0" borderId="0" xfId="0" applyFont="1" applyAlignment="1">
      <alignment vertical="center"/>
    </xf>
    <xf numFmtId="0" fontId="9" fillId="0" borderId="0" xfId="0" applyFont="1" applyAlignment="1">
      <alignment vertical="center"/>
    </xf>
    <xf numFmtId="0" fontId="12" fillId="0" borderId="19" xfId="0" applyFont="1" applyBorder="1"/>
    <xf numFmtId="0" fontId="11" fillId="0" borderId="19" xfId="0" applyFont="1" applyBorder="1"/>
    <xf numFmtId="3" fontId="0" fillId="0" borderId="0" xfId="0" applyNumberFormat="1"/>
    <xf numFmtId="4" fontId="0" fillId="0" borderId="0" xfId="0" applyNumberFormat="1"/>
    <xf numFmtId="0" fontId="27" fillId="0" borderId="19" xfId="0" applyFont="1" applyBorder="1"/>
    <xf numFmtId="0" fontId="12" fillId="0" borderId="19" xfId="0" applyFont="1" applyBorder="1" applyAlignment="1">
      <alignment vertical="center"/>
    </xf>
    <xf numFmtId="0" fontId="9" fillId="0" borderId="19" xfId="0" applyFont="1" applyBorder="1" applyAlignment="1">
      <alignment vertical="center"/>
    </xf>
    <xf numFmtId="0" fontId="11" fillId="0" borderId="19" xfId="0" applyFont="1" applyBorder="1" applyAlignment="1">
      <alignment vertical="center"/>
    </xf>
    <xf numFmtId="10" fontId="0" fillId="0" borderId="0" xfId="0" applyNumberFormat="1"/>
    <xf numFmtId="0" fontId="19" fillId="5" borderId="0" xfId="0" applyFont="1" applyFill="1"/>
    <xf numFmtId="0" fontId="3" fillId="5" borderId="0" xfId="0" applyFont="1" applyFill="1"/>
    <xf numFmtId="0" fontId="20" fillId="5" borderId="0" xfId="0" applyFont="1" applyFill="1" applyAlignment="1">
      <alignment horizontal="left" vertical="top"/>
    </xf>
    <xf numFmtId="0" fontId="3" fillId="5" borderId="0" xfId="0" applyFont="1" applyFill="1" applyAlignment="1">
      <alignment vertical="top" wrapText="1"/>
    </xf>
    <xf numFmtId="0" fontId="0" fillId="5" borderId="0" xfId="0" applyFill="1"/>
    <xf numFmtId="0" fontId="30" fillId="5" borderId="0" xfId="3" applyFont="1" applyFill="1" applyAlignment="1">
      <alignment vertical="top" wrapText="1"/>
    </xf>
    <xf numFmtId="0" fontId="31" fillId="5" borderId="0" xfId="0" applyFont="1" applyFill="1" applyAlignment="1">
      <alignment vertical="top"/>
    </xf>
    <xf numFmtId="0" fontId="3" fillId="5" borderId="0" xfId="0" applyFont="1" applyFill="1" applyAlignment="1">
      <alignment horizontal="left" vertical="top" wrapText="1"/>
    </xf>
    <xf numFmtId="0" fontId="13" fillId="5" borderId="0" xfId="0" applyFont="1" applyFill="1" applyAlignment="1">
      <alignment vertical="top" wrapText="1"/>
    </xf>
    <xf numFmtId="0" fontId="21" fillId="6" borderId="0" xfId="0" applyFont="1" applyFill="1" applyAlignment="1">
      <alignment vertical="top" wrapText="1"/>
    </xf>
    <xf numFmtId="0" fontId="21" fillId="6" borderId="0" xfId="0" applyFont="1" applyFill="1" applyAlignment="1">
      <alignment horizontal="right" wrapText="1"/>
    </xf>
    <xf numFmtId="0" fontId="21" fillId="6" borderId="0" xfId="0" applyFont="1" applyFill="1" applyAlignment="1">
      <alignment horizontal="right" vertical="top" wrapText="1"/>
    </xf>
    <xf numFmtId="0" fontId="3" fillId="5" borderId="0" xfId="0" applyFont="1" applyFill="1" applyAlignment="1">
      <alignment horizontal="right"/>
    </xf>
    <xf numFmtId="0" fontId="32" fillId="5" borderId="0" xfId="0" applyFont="1" applyFill="1" applyAlignment="1">
      <alignment horizontal="center"/>
    </xf>
    <xf numFmtId="4" fontId="13" fillId="5" borderId="0" xfId="0" applyNumberFormat="1" applyFont="1" applyFill="1" applyAlignment="1">
      <alignment horizontal="right"/>
    </xf>
    <xf numFmtId="3" fontId="13" fillId="5" borderId="0" xfId="0" applyNumberFormat="1" applyFont="1" applyFill="1" applyAlignment="1">
      <alignment horizontal="right"/>
    </xf>
    <xf numFmtId="0" fontId="32" fillId="12" borderId="0" xfId="0" applyFont="1" applyFill="1" applyAlignment="1">
      <alignment horizontal="center"/>
    </xf>
    <xf numFmtId="4" fontId="13" fillId="12" borderId="0" xfId="0" applyNumberFormat="1" applyFont="1" applyFill="1" applyAlignment="1">
      <alignment horizontal="right"/>
    </xf>
    <xf numFmtId="3" fontId="13" fillId="12" borderId="0" xfId="0" applyNumberFormat="1" applyFont="1" applyFill="1" applyAlignment="1">
      <alignment horizontal="right"/>
    </xf>
    <xf numFmtId="4" fontId="3" fillId="12" borderId="0" xfId="0" applyNumberFormat="1" applyFont="1" applyFill="1" applyAlignment="1">
      <alignment horizontal="right"/>
    </xf>
    <xf numFmtId="4" fontId="3" fillId="5" borderId="0" xfId="0" applyNumberFormat="1" applyFont="1" applyFill="1"/>
    <xf numFmtId="4" fontId="3" fillId="5" borderId="0" xfId="0" applyNumberFormat="1" applyFont="1" applyFill="1" applyAlignment="1">
      <alignment horizontal="right"/>
    </xf>
    <xf numFmtId="0" fontId="33" fillId="5" borderId="0" xfId="0" applyFont="1" applyFill="1" applyAlignment="1">
      <alignment horizontal="left"/>
    </xf>
    <xf numFmtId="0" fontId="3" fillId="5" borderId="0" xfId="0" applyFont="1" applyFill="1" applyAlignment="1">
      <alignment vertical="top"/>
    </xf>
    <xf numFmtId="0" fontId="34" fillId="5" borderId="0" xfId="0" applyFont="1" applyFill="1" applyAlignment="1">
      <alignment vertical="top"/>
    </xf>
    <xf numFmtId="0" fontId="35" fillId="5" borderId="0" xfId="0" applyFont="1" applyFill="1" applyAlignment="1">
      <alignment vertical="top"/>
    </xf>
    <xf numFmtId="0" fontId="32" fillId="5" borderId="0" xfId="0" applyFont="1" applyFill="1" applyAlignment="1">
      <alignment vertical="top"/>
    </xf>
    <xf numFmtId="0" fontId="38" fillId="5" borderId="0" xfId="0" applyFont="1" applyFill="1" applyAlignment="1">
      <alignment vertical="top"/>
    </xf>
    <xf numFmtId="164" fontId="13" fillId="5" borderId="0" xfId="1" applyNumberFormat="1" applyFont="1" applyFill="1" applyAlignment="1">
      <alignment horizontal="center"/>
    </xf>
    <xf numFmtId="164" fontId="13" fillId="5" borderId="0" xfId="0" applyNumberFormat="1" applyFont="1" applyFill="1" applyAlignment="1">
      <alignment horizontal="center"/>
    </xf>
    <xf numFmtId="164" fontId="8" fillId="0" borderId="0" xfId="1" applyNumberFormat="1" applyFont="1" applyFill="1" applyAlignment="1">
      <alignment horizontal="center"/>
    </xf>
    <xf numFmtId="164" fontId="8" fillId="0" borderId="0" xfId="0" applyNumberFormat="1" applyFont="1" applyAlignment="1">
      <alignment horizontal="center"/>
    </xf>
    <xf numFmtId="0" fontId="13" fillId="13" borderId="4" xfId="0" applyFont="1" applyFill="1" applyBorder="1"/>
    <xf numFmtId="0" fontId="14" fillId="13" borderId="5" xfId="0" applyFont="1" applyFill="1" applyBorder="1"/>
    <xf numFmtId="0" fontId="13" fillId="13" borderId="6" xfId="0" applyFont="1" applyFill="1" applyBorder="1"/>
    <xf numFmtId="0" fontId="13" fillId="13" borderId="10" xfId="0" applyFont="1" applyFill="1" applyBorder="1"/>
    <xf numFmtId="0" fontId="14" fillId="13" borderId="0" xfId="0" applyFont="1" applyFill="1"/>
    <xf numFmtId="0" fontId="13" fillId="13" borderId="11" xfId="0" applyFont="1" applyFill="1" applyBorder="1"/>
    <xf numFmtId="0" fontId="13" fillId="13" borderId="0" xfId="0" applyFont="1" applyFill="1"/>
    <xf numFmtId="0" fontId="17" fillId="13" borderId="10" xfId="0" applyFont="1" applyFill="1" applyBorder="1"/>
    <xf numFmtId="0" fontId="17" fillId="13" borderId="10" xfId="0" applyFont="1" applyFill="1" applyBorder="1" applyAlignment="1">
      <alignment horizontal="center"/>
    </xf>
    <xf numFmtId="0" fontId="43" fillId="13" borderId="10" xfId="0" applyFont="1" applyFill="1" applyBorder="1" applyAlignment="1">
      <alignment horizontal="center"/>
    </xf>
    <xf numFmtId="0" fontId="45" fillId="13" borderId="28" xfId="0" applyFont="1" applyFill="1" applyBorder="1"/>
    <xf numFmtId="0" fontId="0" fillId="13" borderId="29" xfId="0" applyFill="1" applyBorder="1"/>
    <xf numFmtId="0" fontId="13" fillId="13" borderId="16" xfId="0" applyFont="1" applyFill="1" applyBorder="1" applyAlignment="1">
      <alignment horizontal="center"/>
    </xf>
    <xf numFmtId="2" fontId="13" fillId="13" borderId="17" xfId="0" applyNumberFormat="1" applyFont="1" applyFill="1" applyBorder="1" applyAlignment="1">
      <alignment horizontal="center"/>
    </xf>
    <xf numFmtId="0" fontId="13" fillId="13" borderId="18" xfId="0" applyFont="1" applyFill="1" applyBorder="1"/>
    <xf numFmtId="0" fontId="21" fillId="14" borderId="15" xfId="0" applyFont="1" applyFill="1" applyBorder="1" applyAlignment="1">
      <alignment horizontal="center"/>
    </xf>
    <xf numFmtId="164" fontId="8" fillId="15" borderId="0" xfId="1" applyNumberFormat="1" applyFont="1" applyFill="1" applyAlignment="1">
      <alignment horizontal="center"/>
    </xf>
    <xf numFmtId="164" fontId="8" fillId="15" borderId="0" xfId="0" applyNumberFormat="1" applyFont="1" applyFill="1" applyAlignment="1">
      <alignment horizontal="center"/>
    </xf>
    <xf numFmtId="0" fontId="8" fillId="0" borderId="0" xfId="0" applyFont="1" applyAlignment="1">
      <alignment horizontal="center"/>
    </xf>
    <xf numFmtId="0" fontId="8" fillId="15" borderId="0" xfId="0" applyFont="1" applyFill="1" applyAlignment="1">
      <alignment horizontal="center"/>
    </xf>
    <xf numFmtId="0" fontId="17" fillId="14" borderId="20" xfId="0" applyFont="1" applyFill="1" applyBorder="1"/>
    <xf numFmtId="0" fontId="17" fillId="14" borderId="21" xfId="0" applyFont="1" applyFill="1" applyBorder="1"/>
    <xf numFmtId="0" fontId="17" fillId="14" borderId="22" xfId="0" applyFont="1" applyFill="1" applyBorder="1"/>
    <xf numFmtId="0" fontId="21" fillId="14" borderId="32" xfId="0" applyFont="1" applyFill="1" applyBorder="1" applyAlignment="1">
      <alignment horizontal="center"/>
    </xf>
    <xf numFmtId="0" fontId="21" fillId="14" borderId="33" xfId="0" applyFont="1" applyFill="1" applyBorder="1" applyAlignment="1">
      <alignment horizontal="center"/>
    </xf>
    <xf numFmtId="165" fontId="44" fillId="13" borderId="28" xfId="0" applyNumberFormat="1" applyFont="1" applyFill="1" applyBorder="1" applyAlignment="1">
      <alignment horizontal="center"/>
    </xf>
    <xf numFmtId="165" fontId="44" fillId="13" borderId="0" xfId="0" applyNumberFormat="1" applyFont="1" applyFill="1" applyAlignment="1">
      <alignment horizontal="center"/>
    </xf>
    <xf numFmtId="165" fontId="44" fillId="13" borderId="29" xfId="0" applyNumberFormat="1" applyFont="1" applyFill="1" applyBorder="1" applyAlignment="1">
      <alignment horizontal="center"/>
    </xf>
    <xf numFmtId="165" fontId="44" fillId="16" borderId="28" xfId="0" applyNumberFormat="1" applyFont="1" applyFill="1" applyBorder="1" applyAlignment="1">
      <alignment horizontal="center"/>
    </xf>
    <xf numFmtId="165" fontId="44" fillId="16" borderId="0" xfId="0" applyNumberFormat="1" applyFont="1" applyFill="1" applyAlignment="1">
      <alignment horizontal="center"/>
    </xf>
    <xf numFmtId="165" fontId="44" fillId="16" borderId="29" xfId="0" applyNumberFormat="1" applyFont="1" applyFill="1" applyBorder="1" applyAlignment="1">
      <alignment horizontal="center"/>
    </xf>
    <xf numFmtId="165" fontId="44" fillId="13" borderId="23" xfId="0" applyNumberFormat="1" applyFont="1" applyFill="1" applyBorder="1" applyAlignment="1">
      <alignment horizontal="center"/>
    </xf>
    <xf numFmtId="165" fontId="44" fillId="13" borderId="24" xfId="0" applyNumberFormat="1" applyFont="1" applyFill="1" applyBorder="1" applyAlignment="1">
      <alignment horizontal="center"/>
    </xf>
    <xf numFmtId="165" fontId="44" fillId="13" borderId="25" xfId="0" applyNumberFormat="1" applyFont="1" applyFill="1" applyBorder="1" applyAlignment="1">
      <alignment horizontal="center"/>
    </xf>
    <xf numFmtId="0" fontId="45" fillId="16" borderId="28" xfId="0" applyFont="1" applyFill="1" applyBorder="1" applyAlignment="1">
      <alignment horizontal="center"/>
    </xf>
    <xf numFmtId="0" fontId="45" fillId="16" borderId="0" xfId="0" applyFont="1" applyFill="1" applyAlignment="1">
      <alignment horizontal="center"/>
    </xf>
    <xf numFmtId="0" fontId="45" fillId="16" borderId="29" xfId="0" applyFont="1" applyFill="1" applyBorder="1" applyAlignment="1">
      <alignment horizontal="center"/>
    </xf>
    <xf numFmtId="0" fontId="45" fillId="13" borderId="28" xfId="0" applyFont="1" applyFill="1" applyBorder="1" applyAlignment="1">
      <alignment horizontal="center"/>
    </xf>
    <xf numFmtId="0" fontId="45" fillId="13" borderId="0" xfId="0" applyFont="1" applyFill="1" applyAlignment="1">
      <alignment horizontal="center"/>
    </xf>
    <xf numFmtId="0" fontId="45" fillId="13" borderId="29" xfId="0" applyFont="1" applyFill="1" applyBorder="1" applyAlignment="1">
      <alignment horizontal="center"/>
    </xf>
    <xf numFmtId="2" fontId="11" fillId="0" borderId="0" xfId="0" applyNumberFormat="1" applyFont="1"/>
    <xf numFmtId="2" fontId="0" fillId="0" borderId="0" xfId="0" applyNumberFormat="1"/>
    <xf numFmtId="2" fontId="9" fillId="0" borderId="0" xfId="0" applyNumberFormat="1" applyFont="1"/>
    <xf numFmtId="2" fontId="10" fillId="0" borderId="0" xfId="0" applyNumberFormat="1" applyFont="1"/>
    <xf numFmtId="2" fontId="4" fillId="0" borderId="0" xfId="0" applyNumberFormat="1" applyFont="1"/>
    <xf numFmtId="1" fontId="9" fillId="0" borderId="0" xfId="0" applyNumberFormat="1" applyFont="1"/>
    <xf numFmtId="0" fontId="7" fillId="0" borderId="35" xfId="0" applyFont="1" applyBorder="1"/>
    <xf numFmtId="1" fontId="0" fillId="17" borderId="35" xfId="0" applyNumberFormat="1" applyFill="1" applyBorder="1"/>
    <xf numFmtId="1" fontId="0" fillId="0" borderId="0" xfId="0" applyNumberFormat="1"/>
    <xf numFmtId="1" fontId="0" fillId="17" borderId="0" xfId="0" applyNumberFormat="1" applyFill="1"/>
    <xf numFmtId="1" fontId="0" fillId="0" borderId="34" xfId="0" applyNumberFormat="1" applyBorder="1"/>
    <xf numFmtId="2" fontId="6" fillId="0" borderId="34" xfId="0" applyNumberFormat="1" applyFont="1" applyBorder="1"/>
    <xf numFmtId="2" fontId="0" fillId="17" borderId="0" xfId="0" applyNumberFormat="1" applyFill="1"/>
    <xf numFmtId="0" fontId="12" fillId="0" borderId="35" xfId="0" applyFont="1" applyBorder="1"/>
    <xf numFmtId="1" fontId="9" fillId="17" borderId="35" xfId="0" applyNumberFormat="1" applyFont="1" applyFill="1" applyBorder="1"/>
    <xf numFmtId="2" fontId="11" fillId="17" borderId="35" xfId="0" applyNumberFormat="1" applyFont="1" applyFill="1" applyBorder="1"/>
    <xf numFmtId="1" fontId="9" fillId="17" borderId="0" xfId="0" applyNumberFormat="1" applyFont="1" applyFill="1"/>
    <xf numFmtId="2" fontId="11" fillId="17" borderId="0" xfId="0" applyNumberFormat="1" applyFont="1" applyFill="1"/>
    <xf numFmtId="1" fontId="9" fillId="0" borderId="34" xfId="0" applyNumberFormat="1" applyFont="1" applyBorder="1"/>
    <xf numFmtId="2" fontId="11" fillId="0" borderId="34" xfId="0" applyNumberFormat="1" applyFont="1" applyBorder="1"/>
    <xf numFmtId="2" fontId="12" fillId="0" borderId="35" xfId="0" applyNumberFormat="1" applyFont="1" applyBorder="1"/>
    <xf numFmtId="2" fontId="48" fillId="0" borderId="35" xfId="0" applyNumberFormat="1" applyFont="1" applyBorder="1"/>
    <xf numFmtId="0" fontId="49" fillId="0" borderId="19" xfId="0" applyFont="1" applyBorder="1"/>
    <xf numFmtId="0" fontId="26" fillId="0" borderId="19" xfId="0" applyFont="1" applyBorder="1"/>
    <xf numFmtId="0" fontId="50" fillId="0" borderId="19" xfId="0" applyFont="1" applyBorder="1"/>
    <xf numFmtId="0" fontId="46" fillId="0" borderId="0" xfId="0" applyFont="1"/>
    <xf numFmtId="0" fontId="51" fillId="0" borderId="0" xfId="0" applyFont="1"/>
    <xf numFmtId="0" fontId="51" fillId="17" borderId="35" xfId="0" applyFont="1" applyFill="1" applyBorder="1"/>
    <xf numFmtId="0" fontId="51" fillId="17" borderId="0" xfId="0" applyFont="1" applyFill="1"/>
    <xf numFmtId="0" fontId="51" fillId="0" borderId="34" xfId="0" applyFont="1" applyBorder="1"/>
    <xf numFmtId="0" fontId="26" fillId="0" borderId="35" xfId="0" applyFont="1" applyBorder="1"/>
    <xf numFmtId="1" fontId="8" fillId="17" borderId="35" xfId="0" applyNumberFormat="1" applyFont="1" applyFill="1" applyBorder="1"/>
    <xf numFmtId="1" fontId="8" fillId="0" borderId="0" xfId="0" applyNumberFormat="1" applyFont="1"/>
    <xf numFmtId="1" fontId="8" fillId="17" borderId="0" xfId="0" applyNumberFormat="1" applyFont="1" applyFill="1"/>
    <xf numFmtId="1" fontId="8" fillId="0" borderId="34" xfId="0" applyNumberFormat="1" applyFont="1" applyBorder="1"/>
    <xf numFmtId="0" fontId="6" fillId="0" borderId="0" xfId="0" applyFont="1"/>
    <xf numFmtId="0" fontId="6" fillId="17" borderId="35" xfId="0" applyFont="1" applyFill="1" applyBorder="1"/>
    <xf numFmtId="0" fontId="6" fillId="17" borderId="0" xfId="0" applyFont="1" applyFill="1"/>
    <xf numFmtId="0" fontId="6" fillId="0" borderId="34" xfId="0" applyFont="1" applyBorder="1"/>
    <xf numFmtId="2" fontId="45" fillId="0" borderId="0" xfId="0" applyNumberFormat="1" applyFont="1"/>
    <xf numFmtId="0" fontId="8" fillId="17" borderId="35" xfId="0" applyFont="1" applyFill="1" applyBorder="1"/>
    <xf numFmtId="0" fontId="8" fillId="17" borderId="0" xfId="0" applyFont="1" applyFill="1"/>
    <xf numFmtId="0" fontId="8" fillId="0" borderId="34" xfId="0" applyFont="1" applyBorder="1"/>
    <xf numFmtId="3" fontId="36" fillId="4" borderId="0" xfId="0" applyNumberFormat="1" applyFont="1" applyFill="1"/>
    <xf numFmtId="0" fontId="7" fillId="0" borderId="19" xfId="0" applyFont="1" applyBorder="1"/>
    <xf numFmtId="0" fontId="0" fillId="0" borderId="19" xfId="0" applyBorder="1"/>
    <xf numFmtId="4" fontId="0" fillId="0" borderId="29" xfId="0" applyNumberFormat="1" applyBorder="1"/>
    <xf numFmtId="4" fontId="0" fillId="0" borderId="24" xfId="0" applyNumberFormat="1" applyBorder="1"/>
    <xf numFmtId="4" fontId="0" fillId="0" borderId="25" xfId="0" applyNumberFormat="1" applyBorder="1"/>
    <xf numFmtId="0" fontId="52" fillId="11" borderId="0" xfId="2" applyFont="1" applyBorder="1"/>
    <xf numFmtId="0" fontId="7" fillId="0" borderId="37" xfId="0" applyFont="1" applyBorder="1"/>
    <xf numFmtId="10" fontId="0" fillId="0" borderId="24" xfId="0" applyNumberFormat="1" applyBorder="1"/>
    <xf numFmtId="0" fontId="0" fillId="0" borderId="37" xfId="0" applyBorder="1"/>
    <xf numFmtId="0" fontId="0" fillId="0" borderId="38" xfId="0" applyBorder="1"/>
    <xf numFmtId="0" fontId="7" fillId="0" borderId="41" xfId="0" applyFont="1" applyBorder="1"/>
    <xf numFmtId="3" fontId="0" fillId="0" borderId="29" xfId="0" applyNumberFormat="1" applyBorder="1"/>
    <xf numFmtId="0" fontId="0" fillId="0" borderId="41" xfId="0" applyBorder="1"/>
    <xf numFmtId="0" fontId="26" fillId="0" borderId="41" xfId="0" applyFont="1" applyBorder="1"/>
    <xf numFmtId="4" fontId="9" fillId="0" borderId="0" xfId="0" applyNumberFormat="1" applyFont="1"/>
    <xf numFmtId="4" fontId="9" fillId="0" borderId="24" xfId="0" applyNumberFormat="1" applyFont="1" applyBorder="1"/>
    <xf numFmtId="166" fontId="0" fillId="0" borderId="28" xfId="0" applyNumberFormat="1" applyBorder="1"/>
    <xf numFmtId="166" fontId="0" fillId="0" borderId="23" xfId="0" applyNumberFormat="1" applyBorder="1"/>
    <xf numFmtId="4" fontId="3" fillId="4" borderId="0" xfId="0" applyNumberFormat="1" applyFont="1" applyFill="1"/>
    <xf numFmtId="0" fontId="3" fillId="19" borderId="0" xfId="0" applyFont="1" applyFill="1"/>
    <xf numFmtId="0" fontId="53" fillId="0" borderId="0" xfId="0" applyFont="1"/>
    <xf numFmtId="0" fontId="26" fillId="0" borderId="20" xfId="0" applyFont="1" applyBorder="1"/>
    <xf numFmtId="4" fontId="0" fillId="0" borderId="21" xfId="0" applyNumberFormat="1" applyBorder="1"/>
    <xf numFmtId="0" fontId="7" fillId="18" borderId="20" xfId="0" applyFont="1" applyFill="1" applyBorder="1"/>
    <xf numFmtId="0" fontId="7" fillId="18" borderId="38" xfId="0" applyFont="1" applyFill="1" applyBorder="1"/>
    <xf numFmtId="0" fontId="7" fillId="18" borderId="19" xfId="0" applyFont="1" applyFill="1" applyBorder="1"/>
    <xf numFmtId="0" fontId="7" fillId="18" borderId="41" xfId="0" applyFont="1" applyFill="1" applyBorder="1"/>
    <xf numFmtId="0" fontId="7" fillId="18" borderId="36" xfId="0" applyFont="1" applyFill="1" applyBorder="1"/>
    <xf numFmtId="0" fontId="7" fillId="18" borderId="39" xfId="0" applyFont="1" applyFill="1" applyBorder="1"/>
    <xf numFmtId="166" fontId="0" fillId="0" borderId="37" xfId="0" applyNumberFormat="1" applyBorder="1"/>
    <xf numFmtId="166" fontId="0" fillId="0" borderId="38" xfId="0" applyNumberFormat="1" applyBorder="1"/>
    <xf numFmtId="10" fontId="0" fillId="0" borderId="29" xfId="0" applyNumberFormat="1" applyBorder="1"/>
    <xf numFmtId="10" fontId="0" fillId="0" borderId="25" xfId="0" applyNumberFormat="1" applyBorder="1"/>
    <xf numFmtId="0" fontId="47" fillId="14" borderId="19" xfId="0" applyFont="1" applyFill="1" applyBorder="1"/>
    <xf numFmtId="0" fontId="47" fillId="0" borderId="0" xfId="0" applyFont="1"/>
    <xf numFmtId="0" fontId="7" fillId="0" borderId="36" xfId="0" applyFont="1" applyBorder="1"/>
    <xf numFmtId="0" fontId="7" fillId="0" borderId="39" xfId="0" applyFont="1" applyBorder="1"/>
    <xf numFmtId="0" fontId="7" fillId="0" borderId="38" xfId="0" applyFont="1" applyBorder="1"/>
    <xf numFmtId="0" fontId="47" fillId="0" borderId="25" xfId="0" applyFont="1" applyBorder="1"/>
    <xf numFmtId="0" fontId="26" fillId="0" borderId="25" xfId="0" applyFont="1" applyBorder="1" applyAlignment="1">
      <alignment vertical="center" wrapText="1"/>
    </xf>
    <xf numFmtId="0" fontId="53" fillId="0" borderId="0" xfId="0" applyFont="1" applyAlignment="1">
      <alignment vertical="center" wrapText="1"/>
    </xf>
    <xf numFmtId="0" fontId="53" fillId="0" borderId="29" xfId="0" applyFont="1" applyBorder="1" applyAlignment="1">
      <alignment vertical="center" wrapText="1"/>
    </xf>
    <xf numFmtId="10" fontId="53" fillId="0" borderId="0" xfId="0" applyNumberFormat="1" applyFont="1" applyAlignment="1">
      <alignment vertical="center" wrapText="1"/>
    </xf>
    <xf numFmtId="168" fontId="0" fillId="0" borderId="0" xfId="0" applyNumberFormat="1"/>
    <xf numFmtId="0" fontId="0" fillId="0" borderId="29" xfId="0" applyBorder="1"/>
    <xf numFmtId="10" fontId="9" fillId="0" borderId="25" xfId="0" quotePrefix="1" applyNumberFormat="1" applyFont="1" applyBorder="1" applyAlignment="1">
      <alignment vertical="center" wrapText="1"/>
    </xf>
    <xf numFmtId="4" fontId="0" fillId="0" borderId="43" xfId="0" applyNumberFormat="1" applyBorder="1"/>
    <xf numFmtId="4" fontId="0" fillId="0" borderId="11" xfId="0" applyNumberFormat="1" applyBorder="1"/>
    <xf numFmtId="4" fontId="0" fillId="0" borderId="18" xfId="0" applyNumberFormat="1" applyBorder="1"/>
    <xf numFmtId="0" fontId="29" fillId="5" borderId="0" xfId="3" applyFill="1" applyAlignment="1">
      <alignment horizontal="left" vertical="top" wrapText="1"/>
    </xf>
    <xf numFmtId="0" fontId="3" fillId="5" borderId="0" xfId="0" applyFont="1" applyFill="1"/>
    <xf numFmtId="0" fontId="13" fillId="5" borderId="0" xfId="0" applyFont="1" applyFill="1" applyAlignment="1">
      <alignment horizontal="left" vertical="top" wrapText="1"/>
    </xf>
    <xf numFmtId="0" fontId="13" fillId="5" borderId="0" xfId="0" applyFont="1" applyFill="1"/>
    <xf numFmtId="0" fontId="3" fillId="5" borderId="0" xfId="0" applyFont="1" applyFill="1" applyAlignment="1">
      <alignment horizontal="left" vertical="top" wrapText="1"/>
    </xf>
    <xf numFmtId="0" fontId="21" fillId="6" borderId="26" xfId="0" applyFont="1" applyFill="1" applyBorder="1" applyAlignment="1">
      <alignment horizontal="center"/>
    </xf>
    <xf numFmtId="0" fontId="36" fillId="5" borderId="0" xfId="0" applyFont="1" applyFill="1" applyAlignment="1">
      <alignment horizontal="left" vertical="top" wrapText="1"/>
    </xf>
    <xf numFmtId="0" fontId="39" fillId="5" borderId="0" xfId="0" applyFont="1" applyFill="1" applyAlignment="1">
      <alignment horizontal="left" vertical="top" wrapText="1"/>
    </xf>
    <xf numFmtId="0" fontId="42" fillId="5" borderId="0" xfId="0" applyFont="1" applyFill="1" applyAlignment="1">
      <alignment horizontal="left" vertical="top" wrapText="1"/>
    </xf>
    <xf numFmtId="0" fontId="14" fillId="5" borderId="0" xfId="0" applyFont="1" applyFill="1" applyAlignment="1">
      <alignment horizontal="left" vertical="top" wrapText="1"/>
    </xf>
    <xf numFmtId="0" fontId="14" fillId="5" borderId="0" xfId="0" applyFont="1" applyFill="1" applyAlignment="1">
      <alignment horizontal="left" vertical="top"/>
    </xf>
    <xf numFmtId="0" fontId="21" fillId="14" borderId="30" xfId="0" applyFont="1" applyFill="1" applyBorder="1" applyAlignment="1">
      <alignment horizontal="center"/>
    </xf>
    <xf numFmtId="0" fontId="21" fillId="14" borderId="27" xfId="0" applyFont="1" applyFill="1" applyBorder="1" applyAlignment="1">
      <alignment horizontal="center"/>
    </xf>
    <xf numFmtId="0" fontId="21" fillId="14" borderId="31" xfId="0" applyFont="1" applyFill="1" applyBorder="1" applyAlignment="1">
      <alignment horizontal="center"/>
    </xf>
    <xf numFmtId="0" fontId="21" fillId="6" borderId="0" xfId="0" applyFont="1" applyFill="1" applyAlignment="1">
      <alignment horizontal="center"/>
    </xf>
    <xf numFmtId="0" fontId="47" fillId="14" borderId="0" xfId="0" applyFont="1" applyFill="1" applyAlignment="1">
      <alignment horizontal="center"/>
    </xf>
    <xf numFmtId="0" fontId="9" fillId="18" borderId="0" xfId="0" applyFont="1" applyFill="1" applyAlignment="1">
      <alignment horizontal="center"/>
    </xf>
    <xf numFmtId="0" fontId="12" fillId="0" borderId="0" xfId="0" applyFont="1" applyAlignment="1">
      <alignment horizontal="center"/>
    </xf>
    <xf numFmtId="2" fontId="12" fillId="0" borderId="0" xfId="0" applyNumberFormat="1" applyFont="1" applyAlignment="1">
      <alignment horizontal="center"/>
    </xf>
    <xf numFmtId="0" fontId="7" fillId="0" borderId="0" xfId="0" applyFont="1" applyAlignment="1">
      <alignment horizontal="center"/>
    </xf>
    <xf numFmtId="0" fontId="26" fillId="0" borderId="0" xfId="0" applyFont="1" applyAlignment="1">
      <alignment horizontal="center"/>
    </xf>
    <xf numFmtId="0" fontId="12" fillId="0" borderId="19" xfId="0" applyFont="1" applyBorder="1" applyAlignment="1">
      <alignment horizontal="center"/>
    </xf>
    <xf numFmtId="0" fontId="53" fillId="0" borderId="0" xfId="0" applyFont="1" applyAlignment="1">
      <alignment horizontal="center" vertical="center" wrapText="1"/>
    </xf>
    <xf numFmtId="0" fontId="53" fillId="0" borderId="29" xfId="0" applyFont="1" applyBorder="1" applyAlignment="1">
      <alignment horizontal="center" vertical="center" wrapText="1"/>
    </xf>
    <xf numFmtId="0" fontId="0" fillId="0" borderId="0" xfId="0" applyAlignment="1">
      <alignment horizontal="center" vertical="center" wrapText="1"/>
    </xf>
    <xf numFmtId="0" fontId="0" fillId="0" borderId="29" xfId="0" applyBorder="1" applyAlignment="1">
      <alignment horizontal="center" vertical="center" wrapText="1"/>
    </xf>
    <xf numFmtId="10" fontId="53" fillId="0" borderId="0" xfId="0" applyNumberFormat="1" applyFont="1" applyAlignment="1">
      <alignment horizontal="center" vertical="center" wrapText="1"/>
    </xf>
    <xf numFmtId="10" fontId="53" fillId="0" borderId="29" xfId="0" applyNumberFormat="1" applyFont="1" applyBorder="1" applyAlignment="1">
      <alignment horizontal="center" vertical="center" wrapText="1"/>
    </xf>
    <xf numFmtId="4" fontId="53" fillId="0" borderId="0" xfId="0" applyNumberFormat="1" applyFont="1" applyAlignment="1">
      <alignment horizontal="center" vertical="center" wrapText="1"/>
    </xf>
    <xf numFmtId="4" fontId="53" fillId="0" borderId="29" xfId="0" applyNumberFormat="1" applyFont="1" applyBorder="1" applyAlignment="1">
      <alignment horizontal="center" vertical="center" wrapText="1"/>
    </xf>
    <xf numFmtId="0" fontId="7" fillId="18" borderId="40" xfId="0" applyFont="1" applyFill="1" applyBorder="1" applyAlignment="1">
      <alignment horizontal="center"/>
    </xf>
    <xf numFmtId="0" fontId="7" fillId="18" borderId="39" xfId="0" applyFont="1" applyFill="1" applyBorder="1" applyAlignment="1">
      <alignment horizontal="center"/>
    </xf>
    <xf numFmtId="0" fontId="47" fillId="14" borderId="19" xfId="0" applyFont="1" applyFill="1" applyBorder="1" applyAlignment="1">
      <alignment horizontal="center"/>
    </xf>
    <xf numFmtId="0" fontId="47" fillId="14" borderId="36" xfId="0" applyFont="1" applyFill="1" applyBorder="1" applyAlignment="1">
      <alignment horizontal="center"/>
    </xf>
    <xf numFmtId="0" fontId="26" fillId="18" borderId="36" xfId="0" applyFont="1" applyFill="1" applyBorder="1" applyAlignment="1">
      <alignment horizontal="center"/>
    </xf>
    <xf numFmtId="0" fontId="26" fillId="18" borderId="40" xfId="0" applyFont="1" applyFill="1" applyBorder="1" applyAlignment="1">
      <alignment horizontal="center"/>
    </xf>
    <xf numFmtId="0" fontId="26" fillId="18" borderId="39" xfId="0" applyFont="1" applyFill="1" applyBorder="1" applyAlignment="1">
      <alignment horizontal="center"/>
    </xf>
    <xf numFmtId="0" fontId="26" fillId="18" borderId="19" xfId="0" applyFont="1" applyFill="1" applyBorder="1" applyAlignment="1">
      <alignment horizontal="center"/>
    </xf>
    <xf numFmtId="0" fontId="7" fillId="18" borderId="19" xfId="0" applyFont="1" applyFill="1" applyBorder="1" applyAlignment="1">
      <alignment horizontal="center"/>
    </xf>
    <xf numFmtId="0" fontId="12" fillId="18" borderId="40" xfId="0" applyFont="1" applyFill="1" applyBorder="1" applyAlignment="1">
      <alignment horizontal="center"/>
    </xf>
    <xf numFmtId="0" fontId="7" fillId="18" borderId="24" xfId="0" applyFont="1" applyFill="1" applyBorder="1" applyAlignment="1">
      <alignment horizontal="center"/>
    </xf>
    <xf numFmtId="167" fontId="53" fillId="0" borderId="0" xfId="0" applyNumberFormat="1" applyFont="1" applyAlignment="1">
      <alignment horizontal="center"/>
    </xf>
    <xf numFmtId="167" fontId="53" fillId="0" borderId="29" xfId="0" applyNumberFormat="1" applyFont="1" applyBorder="1" applyAlignment="1">
      <alignment horizontal="center"/>
    </xf>
    <xf numFmtId="4" fontId="7" fillId="18" borderId="39" xfId="0" applyNumberFormat="1" applyFont="1" applyFill="1" applyBorder="1" applyAlignment="1">
      <alignment horizontal="center"/>
    </xf>
    <xf numFmtId="4" fontId="7" fillId="18" borderId="19" xfId="0" applyNumberFormat="1" applyFont="1" applyFill="1" applyBorder="1" applyAlignment="1">
      <alignment horizontal="center"/>
    </xf>
    <xf numFmtId="4" fontId="7" fillId="18" borderId="40" xfId="0" applyNumberFormat="1" applyFont="1" applyFill="1" applyBorder="1" applyAlignment="1">
      <alignment horizontal="center"/>
    </xf>
    <xf numFmtId="0" fontId="47" fillId="14" borderId="41" xfId="0" applyFont="1" applyFill="1" applyBorder="1" applyAlignment="1">
      <alignment horizontal="center"/>
    </xf>
    <xf numFmtId="4" fontId="7" fillId="18" borderId="42" xfId="0" applyNumberFormat="1" applyFont="1" applyFill="1" applyBorder="1" applyAlignment="1">
      <alignment horizontal="center"/>
    </xf>
    <xf numFmtId="0" fontId="47" fillId="14" borderId="40" xfId="0" applyFont="1" applyFill="1" applyBorder="1" applyAlignment="1">
      <alignment horizontal="center"/>
    </xf>
    <xf numFmtId="0" fontId="47" fillId="14" borderId="39" xfId="0" applyFont="1" applyFill="1" applyBorder="1" applyAlignment="1">
      <alignment horizontal="center"/>
    </xf>
    <xf numFmtId="0" fontId="7" fillId="0" borderId="36" xfId="0" applyFont="1" applyBorder="1" applyAlignment="1">
      <alignment horizontal="center"/>
    </xf>
    <xf numFmtId="0" fontId="7" fillId="0" borderId="40" xfId="0" applyFont="1" applyBorder="1" applyAlignment="1">
      <alignment horizontal="center"/>
    </xf>
    <xf numFmtId="0" fontId="7" fillId="0" borderId="39" xfId="0" applyFont="1" applyBorder="1" applyAlignment="1">
      <alignment horizontal="center"/>
    </xf>
  </cellXfs>
  <cellStyles count="4">
    <cellStyle name="Hyperlink" xfId="3" builtinId="8"/>
    <cellStyle name="Neutral" xfId="2" builtinId="28"/>
    <cellStyle name="Normal" xfId="0" builtinId="0"/>
    <cellStyle name="Percent" xfId="1" builtinId="5"/>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000000"/>
        <name val="Calibri Light"/>
        <family val="2"/>
        <scheme val="none"/>
      </font>
      <numFmt numFmtId="14" formatCode="0.00%"/>
      <fill>
        <patternFill patternType="solid">
          <fgColor rgb="FF000000"/>
          <bgColor rgb="FFFFFFFF"/>
        </patternFill>
      </fill>
    </dxf>
    <dxf>
      <font>
        <b val="0"/>
        <i val="0"/>
        <strike val="0"/>
        <condense val="0"/>
        <extend val="0"/>
        <outline val="0"/>
        <shadow val="0"/>
        <u val="none"/>
        <vertAlign val="baseline"/>
        <sz val="11"/>
        <color rgb="FF000000"/>
        <name val="Calibri Light"/>
        <family val="2"/>
        <scheme val="none"/>
      </font>
      <numFmt numFmtId="14" formatCode="0.00%"/>
      <fill>
        <patternFill patternType="solid">
          <fgColor rgb="FF000000"/>
          <bgColor rgb="FFFFFFFF"/>
        </patternFill>
      </fill>
    </dxf>
    <dxf>
      <font>
        <b val="0"/>
        <i val="0"/>
        <strike val="0"/>
        <condense val="0"/>
        <extend val="0"/>
        <outline val="0"/>
        <shadow val="0"/>
        <u val="none"/>
        <vertAlign val="baseline"/>
        <sz val="11"/>
        <color rgb="FF000000"/>
        <name val="Calibri Light"/>
        <family val="2"/>
        <scheme val="none"/>
      </font>
      <numFmt numFmtId="14" formatCode="0.00%"/>
      <fill>
        <patternFill patternType="solid">
          <fgColor rgb="FF000000"/>
          <bgColor rgb="FFFFFFFF"/>
        </patternFill>
      </fill>
    </dxf>
    <dxf>
      <font>
        <b val="0"/>
        <i val="0"/>
        <strike val="0"/>
        <condense val="0"/>
        <extend val="0"/>
        <outline val="0"/>
        <shadow val="0"/>
        <u val="none"/>
        <vertAlign val="baseline"/>
        <sz val="11"/>
        <color rgb="FF000000"/>
        <name val="Calibri Light"/>
        <family val="2"/>
        <scheme val="none"/>
      </font>
      <numFmt numFmtId="14" formatCode="0.00%"/>
      <fill>
        <patternFill patternType="solid">
          <fgColor rgb="FF000000"/>
          <bgColor rgb="FFFFFFFF"/>
        </patternFill>
      </fill>
    </dxf>
    <dxf>
      <font>
        <b val="0"/>
        <i val="0"/>
        <strike val="0"/>
        <condense val="0"/>
        <extend val="0"/>
        <outline val="0"/>
        <shadow val="0"/>
        <u val="none"/>
        <vertAlign val="baseline"/>
        <sz val="11"/>
        <color rgb="FF000000"/>
        <name val="Calibri Light"/>
        <family val="2"/>
        <scheme val="none"/>
      </font>
      <fill>
        <patternFill patternType="solid">
          <fgColor rgb="FF000000"/>
          <bgColor rgb="FFFFFFFF"/>
        </patternFill>
      </fill>
    </dxf>
    <dxf>
      <font>
        <b val="0"/>
        <i val="0"/>
        <strike val="0"/>
        <condense val="0"/>
        <extend val="0"/>
        <outline val="0"/>
        <shadow val="0"/>
        <u val="none"/>
        <vertAlign val="baseline"/>
        <sz val="11"/>
        <color rgb="FF000000"/>
        <name val="Calibri Light"/>
        <family val="2"/>
        <scheme val="none"/>
      </font>
      <fill>
        <patternFill patternType="solid">
          <fgColor rgb="FF000000"/>
          <bgColor rgb="FFFFFFFF"/>
        </patternFill>
      </fill>
    </dxf>
    <dxf>
      <font>
        <b/>
        <i val="0"/>
        <strike val="0"/>
        <condense val="0"/>
        <extend val="0"/>
        <outline val="0"/>
        <shadow val="0"/>
        <u val="none"/>
        <vertAlign val="baseline"/>
        <sz val="11"/>
        <color rgb="FFFFFFFF"/>
        <name val="Calibri"/>
        <family val="2"/>
        <scheme val="none"/>
      </font>
      <fill>
        <patternFill patternType="solid">
          <fgColor rgb="FF000000"/>
          <bgColor rgb="FF4472C4"/>
        </patternFill>
      </fill>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'Inflation-Interest'!$A$2:$A$61</c:f>
              <c:numCache>
                <c:formatCode>General</c:formatCode>
                <c:ptCount val="60"/>
                <c:pt idx="0">
                  <c:v>1962</c:v>
                </c:pt>
                <c:pt idx="1">
                  <c:v>1963</c:v>
                </c:pt>
                <c:pt idx="2">
                  <c:v>1964</c:v>
                </c:pt>
                <c:pt idx="3">
                  <c:v>1965</c:v>
                </c:pt>
                <c:pt idx="4">
                  <c:v>1966</c:v>
                </c:pt>
                <c:pt idx="5">
                  <c:v>1967</c:v>
                </c:pt>
                <c:pt idx="6">
                  <c:v>1968</c:v>
                </c:pt>
                <c:pt idx="7">
                  <c:v>1969</c:v>
                </c:pt>
                <c:pt idx="8">
                  <c:v>1970</c:v>
                </c:pt>
                <c:pt idx="9">
                  <c:v>1971</c:v>
                </c:pt>
                <c:pt idx="10">
                  <c:v>1972</c:v>
                </c:pt>
                <c:pt idx="11">
                  <c:v>1973</c:v>
                </c:pt>
                <c:pt idx="12">
                  <c:v>1974</c:v>
                </c:pt>
                <c:pt idx="13">
                  <c:v>1975</c:v>
                </c:pt>
                <c:pt idx="14">
                  <c:v>1976</c:v>
                </c:pt>
                <c:pt idx="15">
                  <c:v>1977</c:v>
                </c:pt>
                <c:pt idx="16">
                  <c:v>1978</c:v>
                </c:pt>
                <c:pt idx="17">
                  <c:v>1979</c:v>
                </c:pt>
                <c:pt idx="18">
                  <c:v>1980</c:v>
                </c:pt>
                <c:pt idx="19">
                  <c:v>1981</c:v>
                </c:pt>
                <c:pt idx="20">
                  <c:v>1982</c:v>
                </c:pt>
                <c:pt idx="21">
                  <c:v>1983</c:v>
                </c:pt>
                <c:pt idx="22">
                  <c:v>1984</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pt idx="58">
                  <c:v>2020</c:v>
                </c:pt>
                <c:pt idx="59">
                  <c:v>2021</c:v>
                </c:pt>
              </c:numCache>
            </c:numRef>
          </c:xVal>
          <c:yVal>
            <c:numRef>
              <c:f>'Inflation-Interest'!$B$2:$B$61</c:f>
              <c:numCache>
                <c:formatCode>0.00%</c:formatCode>
                <c:ptCount val="60"/>
                <c:pt idx="0">
                  <c:v>2.1299999999999999E-2</c:v>
                </c:pt>
                <c:pt idx="1">
                  <c:v>2.01E-2</c:v>
                </c:pt>
                <c:pt idx="2">
                  <c:v>2.0500000000000001E-2</c:v>
                </c:pt>
                <c:pt idx="3">
                  <c:v>2.5399999999999999E-2</c:v>
                </c:pt>
                <c:pt idx="4">
                  <c:v>3.3000000000000002E-2</c:v>
                </c:pt>
                <c:pt idx="5">
                  <c:v>2.7400000000000001E-2</c:v>
                </c:pt>
                <c:pt idx="6">
                  <c:v>3.4799999999999998E-2</c:v>
                </c:pt>
                <c:pt idx="7">
                  <c:v>4.0599999999999997E-2</c:v>
                </c:pt>
                <c:pt idx="8">
                  <c:v>5.04E-2</c:v>
                </c:pt>
                <c:pt idx="9">
                  <c:v>4.7199999999999999E-2</c:v>
                </c:pt>
                <c:pt idx="10">
                  <c:v>4.41E-2</c:v>
                </c:pt>
                <c:pt idx="11">
                  <c:v>6.7599999999999993E-2</c:v>
                </c:pt>
                <c:pt idx="12">
                  <c:v>0.1086</c:v>
                </c:pt>
                <c:pt idx="13">
                  <c:v>8.8999999999999996E-2</c:v>
                </c:pt>
                <c:pt idx="14">
                  <c:v>6.4299999999999996E-2</c:v>
                </c:pt>
                <c:pt idx="15">
                  <c:v>6.8599999999999994E-2</c:v>
                </c:pt>
                <c:pt idx="16">
                  <c:v>6.7599999999999993E-2</c:v>
                </c:pt>
                <c:pt idx="17">
                  <c:v>9.11E-2</c:v>
                </c:pt>
                <c:pt idx="18">
                  <c:v>0.1188</c:v>
                </c:pt>
                <c:pt idx="19">
                  <c:v>9.98E-2</c:v>
                </c:pt>
                <c:pt idx="20">
                  <c:v>6.8900000000000003E-2</c:v>
                </c:pt>
                <c:pt idx="21">
                  <c:v>4.6899999999999997E-2</c:v>
                </c:pt>
                <c:pt idx="22">
                  <c:v>4.8500000000000001E-2</c:v>
                </c:pt>
                <c:pt idx="23">
                  <c:v>3.7699999999999997E-2</c:v>
                </c:pt>
                <c:pt idx="24">
                  <c:v>0.02</c:v>
                </c:pt>
                <c:pt idx="25">
                  <c:v>3.1300000000000001E-2</c:v>
                </c:pt>
                <c:pt idx="26">
                  <c:v>3.6799999999999999E-2</c:v>
                </c:pt>
                <c:pt idx="27">
                  <c:v>4.8300000000000003E-2</c:v>
                </c:pt>
                <c:pt idx="28">
                  <c:v>5.0999999999999997E-2</c:v>
                </c:pt>
                <c:pt idx="29">
                  <c:v>4.53E-2</c:v>
                </c:pt>
                <c:pt idx="30">
                  <c:v>4.2599999999999999E-2</c:v>
                </c:pt>
                <c:pt idx="31">
                  <c:v>3.7400000000000003E-2</c:v>
                </c:pt>
                <c:pt idx="32">
                  <c:v>3.1899999999999998E-2</c:v>
                </c:pt>
                <c:pt idx="33">
                  <c:v>3.04E-2</c:v>
                </c:pt>
                <c:pt idx="34">
                  <c:v>2.8299999999999999E-2</c:v>
                </c:pt>
                <c:pt idx="35">
                  <c:v>2.47E-2</c:v>
                </c:pt>
                <c:pt idx="36">
                  <c:v>1.66E-2</c:v>
                </c:pt>
                <c:pt idx="37">
                  <c:v>1.89E-2</c:v>
                </c:pt>
                <c:pt idx="38">
                  <c:v>2.9600000000000001E-2</c:v>
                </c:pt>
                <c:pt idx="39">
                  <c:v>2.8199999999999999E-2</c:v>
                </c:pt>
                <c:pt idx="40">
                  <c:v>1.78E-2</c:v>
                </c:pt>
                <c:pt idx="41">
                  <c:v>2.085E-2</c:v>
                </c:pt>
                <c:pt idx="42">
                  <c:v>2.3900000000000001E-2</c:v>
                </c:pt>
                <c:pt idx="43">
                  <c:v>2.81E-2</c:v>
                </c:pt>
                <c:pt idx="44">
                  <c:v>2.7799999999999998E-2</c:v>
                </c:pt>
                <c:pt idx="45">
                  <c:v>2.6599999999999999E-2</c:v>
                </c:pt>
                <c:pt idx="46">
                  <c:v>3.6999999999999998E-2</c:v>
                </c:pt>
                <c:pt idx="47">
                  <c:v>8.0000000000000004E-4</c:v>
                </c:pt>
                <c:pt idx="48">
                  <c:v>1.5100000000000001E-2</c:v>
                </c:pt>
                <c:pt idx="49">
                  <c:v>0.03</c:v>
                </c:pt>
                <c:pt idx="50">
                  <c:v>2.2200000000000001E-2</c:v>
                </c:pt>
                <c:pt idx="51">
                  <c:v>1.4E-2</c:v>
                </c:pt>
                <c:pt idx="52">
                  <c:v>1.11E-2</c:v>
                </c:pt>
                <c:pt idx="53">
                  <c:v>1.4E-3</c:v>
                </c:pt>
                <c:pt idx="54">
                  <c:v>8.3000000000000001E-3</c:v>
                </c:pt>
                <c:pt idx="55">
                  <c:v>1.83E-2</c:v>
                </c:pt>
                <c:pt idx="56">
                  <c:v>2.12E-2</c:v>
                </c:pt>
                <c:pt idx="57">
                  <c:v>1.7000000000000001E-2</c:v>
                </c:pt>
                <c:pt idx="58">
                  <c:v>8.9999999999999993E-3</c:v>
                </c:pt>
                <c:pt idx="59">
                  <c:v>3.8399999999999997E-2</c:v>
                </c:pt>
              </c:numCache>
            </c:numRef>
          </c:yVal>
          <c:smooth val="1"/>
          <c:extLst>
            <c:ext xmlns:c16="http://schemas.microsoft.com/office/drawing/2014/chart" uri="{C3380CC4-5D6E-409C-BE32-E72D297353CC}">
              <c16:uniqueId val="{00000001-EA4A-4835-B0B4-9D21E030EC1E}"/>
            </c:ext>
          </c:extLst>
        </c:ser>
        <c:dLbls>
          <c:showLegendKey val="0"/>
          <c:showVal val="0"/>
          <c:showCatName val="0"/>
          <c:showSerName val="0"/>
          <c:showPercent val="0"/>
          <c:showBubbleSize val="0"/>
        </c:dLbls>
        <c:axId val="1622375752"/>
        <c:axId val="1528795480"/>
      </c:scatterChart>
      <c:valAx>
        <c:axId val="1622375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a:ea typeface="Times New Roman"/>
                <a:cs typeface="Times New Roman"/>
              </a:defRPr>
            </a:pPr>
            <a:endParaRPr lang="en-US"/>
          </a:p>
        </c:txPr>
        <c:crossAx val="1528795480"/>
        <c:crosses val="autoZero"/>
        <c:crossBetween val="midCat"/>
      </c:valAx>
      <c:valAx>
        <c:axId val="1528795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Inflation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a:ea typeface="Times New Roman"/>
                <a:cs typeface="Times New Roman"/>
              </a:defRPr>
            </a:pPr>
            <a:endParaRPr lang="en-US"/>
          </a:p>
        </c:txPr>
        <c:crossAx val="16223757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'Relevant Graphs'!$C$3</c:f>
              <c:strCache>
                <c:ptCount val="1"/>
                <c:pt idx="0">
                  <c:v>SSP1</c:v>
                </c:pt>
              </c:strCache>
            </c:strRef>
          </c:tx>
          <c:spPr>
            <a:ln w="19050" cap="rnd">
              <a:solidFill>
                <a:schemeClr val="accent1"/>
              </a:solidFill>
              <a:round/>
            </a:ln>
            <a:effectLst/>
          </c:spPr>
          <c:marker>
            <c:symbol val="none"/>
          </c:marker>
          <c:xVal>
            <c:numRef>
              <c:f>'Relevant Graphs'!$B$4:$B$21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'Relevant Graphs'!$C$4:$C$21</c:f>
              <c:numCache>
                <c:formatCode>0.00%</c:formatCode>
                <c:ptCount val="18"/>
                <c:pt idx="0">
                  <c:v>4.5267115091401233E-4</c:v>
                </c:pt>
                <c:pt idx="1">
                  <c:v>4.5713937447481684E-4</c:v>
                </c:pt>
                <c:pt idx="2">
                  <c:v>4.6271530162678539E-4</c:v>
                </c:pt>
                <c:pt idx="3">
                  <c:v>4.6932874749253996E-4</c:v>
                </c:pt>
                <c:pt idx="4">
                  <c:v>4.7692600012466056E-4</c:v>
                </c:pt>
                <c:pt idx="5">
                  <c:v>4.8546657271040714E-4</c:v>
                </c:pt>
                <c:pt idx="6">
                  <c:v>4.9492075000189201E-4</c:v>
                </c:pt>
                <c:pt idx="7">
                  <c:v>5.0526771432358791E-4</c:v>
                </c:pt>
                <c:pt idx="8">
                  <c:v>5.1649410049679951E-4</c:v>
                </c:pt>
                <c:pt idx="9">
                  <c:v>5.285928723275221E-4</c:v>
                </c:pt>
                <c:pt idx="10">
                  <c:v>5.4156244309965201E-4</c:v>
                </c:pt>
                <c:pt idx="11">
                  <c:v>6.4259292950724287E-4</c:v>
                </c:pt>
                <c:pt idx="12">
                  <c:v>7.7254968595196676E-4</c:v>
                </c:pt>
                <c:pt idx="13">
                  <c:v>9.2852178024727561E-4</c:v>
                </c:pt>
                <c:pt idx="14">
                  <c:v>1.1058259254820753E-3</c:v>
                </c:pt>
                <c:pt idx="15">
                  <c:v>1.3022793602398017E-3</c:v>
                </c:pt>
                <c:pt idx="16">
                  <c:v>1.5052719031060835E-3</c:v>
                </c:pt>
                <c:pt idx="17">
                  <c:v>1.764700945123364E-3</c:v>
                </c:pt>
              </c:numCache>
            </c:numRef>
          </c:yVal>
          <c:smooth val="1"/>
          <c:extLst>
            <c:ext xmlns:c16="http://schemas.microsoft.com/office/drawing/2014/chart" uri="{C3380CC4-5D6E-409C-BE32-E72D297353CC}">
              <c16:uniqueId val="{00000001-AF6B-4440-A108-AD1F7ADF37C3}"/>
            </c:ext>
          </c:extLst>
        </c:ser>
        <c:ser>
          <c:idx val="1"/>
          <c:order val="1"/>
          <c:tx>
            <c:strRef>
              <c:f>'Relevant Graphs'!$D$3</c:f>
              <c:strCache>
                <c:ptCount val="1"/>
                <c:pt idx="0">
                  <c:v>SSP2</c:v>
                </c:pt>
              </c:strCache>
            </c:strRef>
          </c:tx>
          <c:spPr>
            <a:ln w="19050" cap="rnd">
              <a:solidFill>
                <a:schemeClr val="accent2"/>
              </a:solidFill>
              <a:round/>
            </a:ln>
            <a:effectLst/>
          </c:spPr>
          <c:marker>
            <c:symbol val="none"/>
          </c:marker>
          <c:xVal>
            <c:numRef>
              <c:f>'Relevant Graphs'!$B$4:$B$21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'Relevant Graphs'!$D$4:$D$21</c:f>
              <c:numCache>
                <c:formatCode>0.00%</c:formatCode>
                <c:ptCount val="18"/>
                <c:pt idx="0">
                  <c:v>4.5267115091401233E-4</c:v>
                </c:pt>
                <c:pt idx="1">
                  <c:v>4.6414478123226751E-4</c:v>
                </c:pt>
                <c:pt idx="2">
                  <c:v>4.7650775000604364E-4</c:v>
                </c:pt>
                <c:pt idx="3">
                  <c:v>4.8976125132683913E-4</c:v>
                </c:pt>
                <c:pt idx="4">
                  <c:v>5.0391160148161962E-4</c:v>
                </c:pt>
                <c:pt idx="5">
                  <c:v>5.1896963413001779E-4</c:v>
                </c:pt>
                <c:pt idx="6">
                  <c:v>5.3495022890580031E-4</c:v>
                </c:pt>
                <c:pt idx="7">
                  <c:v>5.5187194419460521E-4</c:v>
                </c:pt>
                <c:pt idx="8">
                  <c:v>5.6975673212765921E-4</c:v>
                </c:pt>
                <c:pt idx="9">
                  <c:v>5.8862971914718832E-4</c:v>
                </c:pt>
                <c:pt idx="10">
                  <c:v>6.0851903941941149E-4</c:v>
                </c:pt>
                <c:pt idx="11">
                  <c:v>8.6380728522671613E-4</c:v>
                </c:pt>
                <c:pt idx="12">
                  <c:v>1.2193148580915845E-3</c:v>
                </c:pt>
                <c:pt idx="13">
                  <c:v>1.6553690802219431E-3</c:v>
                </c:pt>
                <c:pt idx="14">
                  <c:v>2.115733949424943E-3</c:v>
                </c:pt>
                <c:pt idx="15">
                  <c:v>2.5940448006300568E-3</c:v>
                </c:pt>
                <c:pt idx="16">
                  <c:v>3.0859612171382548E-3</c:v>
                </c:pt>
                <c:pt idx="17">
                  <c:v>3.6130936419658758E-3</c:v>
                </c:pt>
              </c:numCache>
            </c:numRef>
          </c:yVal>
          <c:smooth val="1"/>
          <c:extLst>
            <c:ext xmlns:c16="http://schemas.microsoft.com/office/drawing/2014/chart" uri="{C3380CC4-5D6E-409C-BE32-E72D297353CC}">
              <c16:uniqueId val="{00000003-AF6B-4440-A108-AD1F7ADF37C3}"/>
            </c:ext>
          </c:extLst>
        </c:ser>
        <c:ser>
          <c:idx val="2"/>
          <c:order val="2"/>
          <c:tx>
            <c:strRef>
              <c:f>'Relevant Graphs'!$E$3</c:f>
              <c:strCache>
                <c:ptCount val="1"/>
                <c:pt idx="0">
                  <c:v>SSP3</c:v>
                </c:pt>
              </c:strCache>
            </c:strRef>
          </c:tx>
          <c:spPr>
            <a:ln w="19050" cap="rnd">
              <a:solidFill>
                <a:schemeClr val="accent3"/>
              </a:solidFill>
              <a:round/>
            </a:ln>
            <a:effectLst/>
          </c:spPr>
          <c:marker>
            <c:symbol val="none"/>
          </c:marker>
          <c:xVal>
            <c:numRef>
              <c:f>'Relevant Graphs'!$B$4:$B$21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'Relevant Graphs'!$E$4:$E$21</c:f>
              <c:numCache>
                <c:formatCode>0.00%</c:formatCode>
                <c:ptCount val="18"/>
                <c:pt idx="0">
                  <c:v>4.5267115091401233E-4</c:v>
                </c:pt>
                <c:pt idx="1">
                  <c:v>4.7104501442047118E-4</c:v>
                </c:pt>
                <c:pt idx="2">
                  <c:v>4.9044076526590303E-4</c:v>
                </c:pt>
                <c:pt idx="3">
                  <c:v>5.1089643593663569E-4</c:v>
                </c:pt>
                <c:pt idx="4">
                  <c:v>5.3245299304156542E-4</c:v>
                </c:pt>
                <c:pt idx="5">
                  <c:v>5.5515431383035686E-4</c:v>
                </c:pt>
                <c:pt idx="6">
                  <c:v>5.7904718722577369E-4</c:v>
                </c:pt>
                <c:pt idx="7">
                  <c:v>6.0418133571348562E-4</c:v>
                </c:pt>
                <c:pt idx="8">
                  <c:v>6.3060945525880707E-4</c:v>
                </c:pt>
                <c:pt idx="9">
                  <c:v>6.5838727105603035E-4</c:v>
                </c:pt>
                <c:pt idx="10">
                  <c:v>6.8757360741025168E-4</c:v>
                </c:pt>
                <c:pt idx="11">
                  <c:v>1.1617727995050337E-3</c:v>
                </c:pt>
                <c:pt idx="12">
                  <c:v>2.001563324298444E-3</c:v>
                </c:pt>
                <c:pt idx="13">
                  <c:v>3.474757427446021E-3</c:v>
                </c:pt>
                <c:pt idx="14">
                  <c:v>5.9078570760944839E-3</c:v>
                </c:pt>
                <c:pt idx="15">
                  <c:v>9.6752789973175695E-3</c:v>
                </c:pt>
                <c:pt idx="16">
                  <c:v>1.5380530398596642E-2</c:v>
                </c:pt>
                <c:pt idx="17">
                  <c:v>2.3996848345542714E-2</c:v>
                </c:pt>
              </c:numCache>
            </c:numRef>
          </c:yVal>
          <c:smooth val="1"/>
          <c:extLst>
            <c:ext xmlns:c16="http://schemas.microsoft.com/office/drawing/2014/chart" uri="{C3380CC4-5D6E-409C-BE32-E72D297353CC}">
              <c16:uniqueId val="{00000005-AF6B-4440-A108-AD1F7ADF37C3}"/>
            </c:ext>
          </c:extLst>
        </c:ser>
        <c:ser>
          <c:idx val="3"/>
          <c:order val="3"/>
          <c:tx>
            <c:strRef>
              <c:f>'Relevant Graphs'!$F$3</c:f>
              <c:strCache>
                <c:ptCount val="1"/>
                <c:pt idx="0">
                  <c:v>SSP5</c:v>
                </c:pt>
              </c:strCache>
            </c:strRef>
          </c:tx>
          <c:spPr>
            <a:ln w="19050" cap="rnd">
              <a:solidFill>
                <a:schemeClr val="accent4"/>
              </a:solidFill>
              <a:round/>
            </a:ln>
            <a:effectLst/>
          </c:spPr>
          <c:marker>
            <c:symbol val="none"/>
          </c:marker>
          <c:xVal>
            <c:numRef>
              <c:f>'Relevant Graphs'!$B$4:$B$21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'Relevant Graphs'!$F$4:$F$21</c:f>
              <c:numCache>
                <c:formatCode>0.00%</c:formatCode>
                <c:ptCount val="18"/>
                <c:pt idx="0">
                  <c:v>4.5267115091401233E-4</c:v>
                </c:pt>
                <c:pt idx="1">
                  <c:v>4.57837291921247E-4</c:v>
                </c:pt>
                <c:pt idx="2">
                  <c:v>4.6390938865386585E-4</c:v>
                </c:pt>
                <c:pt idx="3">
                  <c:v>4.718827671220676E-4</c:v>
                </c:pt>
                <c:pt idx="4">
                  <c:v>4.8165738520853854E-4</c:v>
                </c:pt>
                <c:pt idx="5">
                  <c:v>4.9316834788548452E-4</c:v>
                </c:pt>
                <c:pt idx="6">
                  <c:v>5.0637894998547216E-4</c:v>
                </c:pt>
                <c:pt idx="7">
                  <c:v>5.2127566472573688E-4</c:v>
                </c:pt>
                <c:pt idx="8">
                  <c:v>5.3786451037421445E-4</c:v>
                </c:pt>
                <c:pt idx="9">
                  <c:v>5.5616841172119588E-4</c:v>
                </c:pt>
                <c:pt idx="10">
                  <c:v>5.7521634607555756E-4</c:v>
                </c:pt>
                <c:pt idx="11">
                  <c:v>8.0281542313826132E-4</c:v>
                </c:pt>
                <c:pt idx="12">
                  <c:v>1.3173870879053735E-3</c:v>
                </c:pt>
                <c:pt idx="13">
                  <c:v>2.4194252809125803E-3</c:v>
                </c:pt>
                <c:pt idx="14">
                  <c:v>4.7630078135169609E-3</c:v>
                </c:pt>
                <c:pt idx="15">
                  <c:v>9.7898174078141775E-3</c:v>
                </c:pt>
                <c:pt idx="16">
                  <c:v>1.9984701735548061E-2</c:v>
                </c:pt>
                <c:pt idx="17">
                  <c:v>3.9160821736699554E-2</c:v>
                </c:pt>
              </c:numCache>
            </c:numRef>
          </c:yVal>
          <c:smooth val="1"/>
          <c:extLst>
            <c:ext xmlns:c16="http://schemas.microsoft.com/office/drawing/2014/chart" uri="{C3380CC4-5D6E-409C-BE32-E72D297353CC}">
              <c16:uniqueId val="{00000007-AF6B-4440-A108-AD1F7ADF37C3}"/>
            </c:ext>
          </c:extLst>
        </c:ser>
        <c:dLbls>
          <c:showLegendKey val="0"/>
          <c:showVal val="0"/>
          <c:showCatName val="0"/>
          <c:showSerName val="0"/>
          <c:showPercent val="0"/>
          <c:showBubbleSize val="0"/>
        </c:dLbls>
        <c:axId val="1123832487"/>
        <c:axId val="1150561048"/>
      </c:scatterChart>
      <c:valAx>
        <c:axId val="1123832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61048"/>
        <c:crosses val="autoZero"/>
        <c:crossBetween val="midCat"/>
      </c:valAx>
      <c:valAx>
        <c:axId val="1150561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24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cost (billion)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'Relevant Graphs'!$C$42</c:f>
              <c:strCache>
                <c:ptCount val="1"/>
                <c:pt idx="0">
                  <c:v>SSP1</c:v>
                </c:pt>
              </c:strCache>
            </c:strRef>
          </c:tx>
          <c:spPr>
            <a:ln w="28575" cap="rnd">
              <a:solidFill>
                <a:schemeClr val="accent2"/>
              </a:solidFill>
              <a:round/>
            </a:ln>
            <a:effectLst/>
          </c:spPr>
          <c:marker>
            <c:symbol val="none"/>
          </c:marker>
          <c:cat>
            <c:numRef>
              <c:f>'Relevant Graphs'!$B$43:$B$60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'Relevant Graphs'!$C$43:$C$60</c:f>
              <c:numCache>
                <c:formatCode>#,##0.00</c:formatCode>
                <c:ptCount val="18"/>
                <c:pt idx="0">
                  <c:v>0.58708683448691845</c:v>
                </c:pt>
                <c:pt idx="1">
                  <c:v>0.62434266684598827</c:v>
                </c:pt>
                <c:pt idx="2">
                  <c:v>0.66380260561362425</c:v>
                </c:pt>
                <c:pt idx="3">
                  <c:v>0.70558983472394687</c:v>
                </c:pt>
                <c:pt idx="4">
                  <c:v>0.7498341164410689</c:v>
                </c:pt>
                <c:pt idx="5">
                  <c:v>0.79667213000635595</c:v>
                </c:pt>
                <c:pt idx="6">
                  <c:v>0.84624782720383607</c:v>
                </c:pt>
                <c:pt idx="7">
                  <c:v>0.89871280566816958</c:v>
                </c:pt>
                <c:pt idx="8">
                  <c:v>0.95422670079893757</c:v>
                </c:pt>
                <c:pt idx="9">
                  <c:v>1.0129575971861815</c:v>
                </c:pt>
                <c:pt idx="10">
                  <c:v>1.0750824604952465</c:v>
                </c:pt>
                <c:pt idx="11">
                  <c:v>1.8269075229000573</c:v>
                </c:pt>
                <c:pt idx="12">
                  <c:v>2.8665091748384572</c:v>
                </c:pt>
                <c:pt idx="13">
                  <c:v>4.2138799599844168</c:v>
                </c:pt>
                <c:pt idx="14">
                  <c:v>5.9059219524121005</c:v>
                </c:pt>
                <c:pt idx="15">
                  <c:v>7.8862045307155739</c:v>
                </c:pt>
                <c:pt idx="16">
                  <c:v>10.063786418803858</c:v>
                </c:pt>
                <c:pt idx="17">
                  <c:v>12.708832985129018</c:v>
                </c:pt>
              </c:numCache>
            </c:numRef>
          </c:val>
          <c:smooth val="0"/>
          <c:extLst>
            <c:ext xmlns:c16="http://schemas.microsoft.com/office/drawing/2014/chart" uri="{C3380CC4-5D6E-409C-BE32-E72D297353CC}">
              <c16:uniqueId val="{00000003-674A-4433-985F-D9CD23765174}"/>
            </c:ext>
          </c:extLst>
        </c:ser>
        <c:ser>
          <c:idx val="2"/>
          <c:order val="1"/>
          <c:tx>
            <c:strRef>
              <c:f>'Relevant Graphs'!$D$42</c:f>
              <c:strCache>
                <c:ptCount val="1"/>
                <c:pt idx="0">
                  <c:v>SSP2</c:v>
                </c:pt>
              </c:strCache>
            </c:strRef>
          </c:tx>
          <c:spPr>
            <a:ln w="28575" cap="rnd">
              <a:solidFill>
                <a:schemeClr val="accent3"/>
              </a:solidFill>
              <a:round/>
            </a:ln>
            <a:effectLst/>
          </c:spPr>
          <c:marker>
            <c:symbol val="none"/>
          </c:marker>
          <c:cat>
            <c:numRef>
              <c:f>'Relevant Graphs'!$B$43:$B$60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'Relevant Graphs'!$D$43:$D$60</c:f>
              <c:numCache>
                <c:formatCode>#,##0.00</c:formatCode>
                <c:ptCount val="18"/>
                <c:pt idx="0">
                  <c:v>0.58708683448691845</c:v>
                </c:pt>
                <c:pt idx="1">
                  <c:v>0.6267994813995369</c:v>
                </c:pt>
                <c:pt idx="2">
                  <c:v>0.66898839979043256</c:v>
                </c:pt>
                <c:pt idx="3">
                  <c:v>0.71379807054338706</c:v>
                </c:pt>
                <c:pt idx="4">
                  <c:v>0.76138096941877398</c:v>
                </c:pt>
                <c:pt idx="5">
                  <c:v>0.81189799104728111</c:v>
                </c:pt>
                <c:pt idx="6">
                  <c:v>0.86551889464597853</c:v>
                </c:pt>
                <c:pt idx="7">
                  <c:v>0.92242277253835969</c:v>
                </c:pt>
                <c:pt idx="8">
                  <c:v>0.98279854261257005</c:v>
                </c:pt>
                <c:pt idx="9">
                  <c:v>1.0468454659071371</c:v>
                </c:pt>
                <c:pt idx="10">
                  <c:v>1.1147736905712271</c:v>
                </c:pt>
                <c:pt idx="11">
                  <c:v>2.0531178092784237</c:v>
                </c:pt>
                <c:pt idx="12">
                  <c:v>3.5984296961831062</c:v>
                </c:pt>
                <c:pt idx="13">
                  <c:v>5.913135487756791</c:v>
                </c:pt>
                <c:pt idx="14">
                  <c:v>9.064945730573795</c:v>
                </c:pt>
                <c:pt idx="15">
                  <c:v>13.119375577459222</c:v>
                </c:pt>
                <c:pt idx="16">
                  <c:v>18.195524399481567</c:v>
                </c:pt>
                <c:pt idx="17">
                  <c:v>24.640210023360048</c:v>
                </c:pt>
              </c:numCache>
            </c:numRef>
          </c:val>
          <c:smooth val="0"/>
          <c:extLst>
            <c:ext xmlns:c16="http://schemas.microsoft.com/office/drawing/2014/chart" uri="{C3380CC4-5D6E-409C-BE32-E72D297353CC}">
              <c16:uniqueId val="{00000005-674A-4433-985F-D9CD23765174}"/>
            </c:ext>
          </c:extLst>
        </c:ser>
        <c:ser>
          <c:idx val="3"/>
          <c:order val="2"/>
          <c:tx>
            <c:strRef>
              <c:f>'Relevant Graphs'!$E$42</c:f>
              <c:strCache>
                <c:ptCount val="1"/>
                <c:pt idx="0">
                  <c:v>SSP3</c:v>
                </c:pt>
              </c:strCache>
            </c:strRef>
          </c:tx>
          <c:spPr>
            <a:ln w="28575" cap="rnd">
              <a:solidFill>
                <a:schemeClr val="accent4"/>
              </a:solidFill>
              <a:round/>
            </a:ln>
            <a:effectLst/>
          </c:spPr>
          <c:marker>
            <c:symbol val="none"/>
          </c:marker>
          <c:cat>
            <c:numRef>
              <c:f>'Relevant Graphs'!$B$43:$B$60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'Relevant Graphs'!$E$43:$E$60</c:f>
              <c:numCache>
                <c:formatCode>#,##0.00</c:formatCode>
                <c:ptCount val="18"/>
                <c:pt idx="0">
                  <c:v>0.58708683448691845</c:v>
                </c:pt>
                <c:pt idx="1">
                  <c:v>0.63150839187292129</c:v>
                </c:pt>
                <c:pt idx="2">
                  <c:v>0.67895104899512215</c:v>
                </c:pt>
                <c:pt idx="3">
                  <c:v>0.72960313516034692</c:v>
                </c:pt>
                <c:pt idx="4">
                  <c:v>0.78366394849036558</c:v>
                </c:pt>
                <c:pt idx="5">
                  <c:v>0.84134436166215243</c:v>
                </c:pt>
                <c:pt idx="6">
                  <c:v>0.90286745971225069</c:v>
                </c:pt>
                <c:pt idx="7">
                  <c:v>0.96846921154528587</c:v>
                </c:pt>
                <c:pt idx="8">
                  <c:v>1.0383991768681873</c:v>
                </c:pt>
                <c:pt idx="9">
                  <c:v>1.1129212503572197</c:v>
                </c:pt>
                <c:pt idx="10">
                  <c:v>1.1923144449545495</c:v>
                </c:pt>
                <c:pt idx="11">
                  <c:v>2.3725872311135285</c:v>
                </c:pt>
                <c:pt idx="12">
                  <c:v>4.5708190214821025</c:v>
                </c:pt>
                <c:pt idx="13">
                  <c:v>8.6711723736851205</c:v>
                </c:pt>
                <c:pt idx="14">
                  <c:v>16.054285904039205</c:v>
                </c:pt>
                <c:pt idx="15">
                  <c:v>28.516983909702105</c:v>
                </c:pt>
                <c:pt idx="16">
                  <c:v>49.170650188428574</c:v>
                </c:pt>
                <c:pt idx="17">
                  <c:v>83.570479365657633</c:v>
                </c:pt>
              </c:numCache>
            </c:numRef>
          </c:val>
          <c:smooth val="0"/>
          <c:extLst>
            <c:ext xmlns:c16="http://schemas.microsoft.com/office/drawing/2014/chart" uri="{C3380CC4-5D6E-409C-BE32-E72D297353CC}">
              <c16:uniqueId val="{00000007-674A-4433-985F-D9CD23765174}"/>
            </c:ext>
          </c:extLst>
        </c:ser>
        <c:ser>
          <c:idx val="4"/>
          <c:order val="3"/>
          <c:tx>
            <c:strRef>
              <c:f>'Relevant Graphs'!$F$42</c:f>
              <c:strCache>
                <c:ptCount val="1"/>
                <c:pt idx="0">
                  <c:v>SSP5</c:v>
                </c:pt>
              </c:strCache>
            </c:strRef>
          </c:tx>
          <c:spPr>
            <a:ln w="28575" cap="rnd">
              <a:solidFill>
                <a:schemeClr val="accent5"/>
              </a:solidFill>
              <a:round/>
            </a:ln>
            <a:effectLst/>
          </c:spPr>
          <c:marker>
            <c:symbol val="none"/>
          </c:marker>
          <c:cat>
            <c:numRef>
              <c:f>'Relevant Graphs'!$B$43:$B$60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'Relevant Graphs'!$F$43:$F$60</c:f>
              <c:numCache>
                <c:formatCode>#,##0.00</c:formatCode>
                <c:ptCount val="18"/>
                <c:pt idx="0">
                  <c:v>0.58708683448691845</c:v>
                </c:pt>
                <c:pt idx="1">
                  <c:v>0.63293232010770317</c:v>
                </c:pt>
                <c:pt idx="2">
                  <c:v>0.68193608217024071</c:v>
                </c:pt>
                <c:pt idx="3">
                  <c:v>0.73429495102772202</c:v>
                </c:pt>
                <c:pt idx="4">
                  <c:v>0.79021714379158703</c:v>
                </c:pt>
                <c:pt idx="5">
                  <c:v>0.84992288715008291</c:v>
                </c:pt>
                <c:pt idx="6">
                  <c:v>0.91364507280799134</c:v>
                </c:pt>
                <c:pt idx="7">
                  <c:v>0.98162994719836272</c:v>
                </c:pt>
                <c:pt idx="8">
                  <c:v>1.0541378371983245</c:v>
                </c:pt>
                <c:pt idx="9">
                  <c:v>1.1314439136661958</c:v>
                </c:pt>
                <c:pt idx="10">
                  <c:v>1.2138389947063675</c:v>
                </c:pt>
                <c:pt idx="11">
                  <c:v>2.6586939015786712</c:v>
                </c:pt>
                <c:pt idx="12">
                  <c:v>6.1149724636253877</c:v>
                </c:pt>
                <c:pt idx="13">
                  <c:v>14.728480195709137</c:v>
                </c:pt>
                <c:pt idx="14">
                  <c:v>36.724500949510997</c:v>
                </c:pt>
                <c:pt idx="15">
                  <c:v>92.279161446389779</c:v>
                </c:pt>
                <c:pt idx="16">
                  <c:v>224.41882805352736</c:v>
                </c:pt>
                <c:pt idx="17">
                  <c:v>513.87300235124599</c:v>
                </c:pt>
              </c:numCache>
            </c:numRef>
          </c:val>
          <c:smooth val="0"/>
          <c:extLst>
            <c:ext xmlns:c16="http://schemas.microsoft.com/office/drawing/2014/chart" uri="{C3380CC4-5D6E-409C-BE32-E72D297353CC}">
              <c16:uniqueId val="{00000009-674A-4433-985F-D9CD23765174}"/>
            </c:ext>
          </c:extLst>
        </c:ser>
        <c:dLbls>
          <c:showLegendKey val="0"/>
          <c:showVal val="0"/>
          <c:showCatName val="0"/>
          <c:showSerName val="0"/>
          <c:showPercent val="0"/>
          <c:showBubbleSize val="0"/>
        </c:dLbls>
        <c:smooth val="0"/>
        <c:axId val="1189443655"/>
        <c:axId val="101519015"/>
      </c:lineChart>
      <c:catAx>
        <c:axId val="1189443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9015"/>
        <c:crosses val="autoZero"/>
        <c:auto val="1"/>
        <c:lblAlgn val="ctr"/>
        <c:lblOffset val="100"/>
        <c:noMultiLvlLbl val="0"/>
      </c:catAx>
      <c:valAx>
        <c:axId val="101519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43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GDP (SSP1)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'Sensitivity Analysis'!$C$3</c:f>
              <c:strCache>
                <c:ptCount val="1"/>
                <c:pt idx="0">
                  <c:v>Lower</c:v>
                </c:pt>
              </c:strCache>
            </c:strRef>
          </c:tx>
          <c:spPr>
            <a:ln w="19050" cap="rnd">
              <a:solidFill>
                <a:schemeClr val="accent1"/>
              </a:solidFill>
              <a:round/>
            </a:ln>
            <a:effectLst/>
          </c:spPr>
          <c:marker>
            <c:symbol val="none"/>
          </c:marker>
          <c:xVal>
            <c:numRef>
              <c:f>'Sensitivity Analysis'!$B$4:$B$21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Analysis'!$C$4:$C$21</c:f>
              <c:numCache>
                <c:formatCode>0.00%</c:formatCode>
                <c:ptCount val="18"/>
                <c:pt idx="0">
                  <c:v>2.1607209554580745E-4</c:v>
                </c:pt>
                <c:pt idx="1">
                  <c:v>2.1818368832531447E-4</c:v>
                </c:pt>
                <c:pt idx="2">
                  <c:v>2.2082362912533452E-4</c:v>
                </c:pt>
                <c:pt idx="3">
                  <c:v>2.239582767531531E-4</c:v>
                </c:pt>
                <c:pt idx="4">
                  <c:v>2.2756186453745352E-4</c:v>
                </c:pt>
                <c:pt idx="5">
                  <c:v>2.3161494686515903E-4</c:v>
                </c:pt>
                <c:pt idx="6">
                  <c:v>2.3610322555328759E-4</c:v>
                </c:pt>
                <c:pt idx="7">
                  <c:v>2.4101665339851643E-4</c:v>
                </c:pt>
                <c:pt idx="8">
                  <c:v>2.4634874284969611E-4</c:v>
                </c:pt>
                <c:pt idx="9">
                  <c:v>2.5209602846030973E-4</c:v>
                </c:pt>
                <c:pt idx="10">
                  <c:v>2.582576460277677E-4</c:v>
                </c:pt>
                <c:pt idx="11">
                  <c:v>3.0624666392371427E-4</c:v>
                </c:pt>
                <c:pt idx="12">
                  <c:v>3.680872401054324E-4</c:v>
                </c:pt>
                <c:pt idx="13">
                  <c:v>4.4243348598456785E-4</c:v>
                </c:pt>
                <c:pt idx="14">
                  <c:v>5.2710188963926458E-4</c:v>
                </c:pt>
                <c:pt idx="15">
                  <c:v>6.2113227193823554E-4</c:v>
                </c:pt>
                <c:pt idx="16">
                  <c:v>7.1860931013495346E-4</c:v>
                </c:pt>
                <c:pt idx="17">
                  <c:v>8.4344295183697287E-4</c:v>
                </c:pt>
              </c:numCache>
            </c:numRef>
          </c:yVal>
          <c:smooth val="1"/>
          <c:extLst>
            <c:ext xmlns:c16="http://schemas.microsoft.com/office/drawing/2014/chart" uri="{C3380CC4-5D6E-409C-BE32-E72D297353CC}">
              <c16:uniqueId val="{00000001-EE24-4965-B28F-0F462671E8D9}"/>
            </c:ext>
          </c:extLst>
        </c:ser>
        <c:ser>
          <c:idx val="1"/>
          <c:order val="1"/>
          <c:tx>
            <c:strRef>
              <c:f>'Sensitivity Analysis'!$D$3</c:f>
              <c:strCache>
                <c:ptCount val="1"/>
                <c:pt idx="0">
                  <c:v>Average</c:v>
                </c:pt>
              </c:strCache>
            </c:strRef>
          </c:tx>
          <c:spPr>
            <a:ln w="19050" cap="rnd">
              <a:solidFill>
                <a:schemeClr val="accent2"/>
              </a:solidFill>
              <a:round/>
            </a:ln>
            <a:effectLst/>
          </c:spPr>
          <c:marker>
            <c:symbol val="none"/>
          </c:marker>
          <c:xVal>
            <c:numRef>
              <c:f>'Sensitivity Analysis'!$B$4:$B$21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Analysis'!$D$4:$D$21</c:f>
              <c:numCache>
                <c:formatCode>0.00%</c:formatCode>
                <c:ptCount val="18"/>
                <c:pt idx="0">
                  <c:v>3.332702878804354E-4</c:v>
                </c:pt>
                <c:pt idx="1">
                  <c:v>3.3654907906148463E-4</c:v>
                </c:pt>
                <c:pt idx="2">
                  <c:v>3.4064319653231918E-4</c:v>
                </c:pt>
                <c:pt idx="3">
                  <c:v>3.455008963915202E-4</c:v>
                </c:pt>
                <c:pt idx="4">
                  <c:v>3.5108256851912014E-4</c:v>
                </c:pt>
                <c:pt idx="5">
                  <c:v>3.5735834381203109E-4</c:v>
                </c:pt>
                <c:pt idx="6">
                  <c:v>3.6430628652584104E-4</c:v>
                </c:pt>
                <c:pt idx="7">
                  <c:v>3.7191101359018372E-4</c:v>
                </c:pt>
                <c:pt idx="8">
                  <c:v>3.8016262990503571E-4</c:v>
                </c:pt>
                <c:pt idx="9">
                  <c:v>3.8905590052967852E-4</c:v>
                </c:pt>
                <c:pt idx="10">
                  <c:v>3.9858960262660875E-4</c:v>
                </c:pt>
                <c:pt idx="11">
                  <c:v>4.7285081945695073E-4</c:v>
                </c:pt>
                <c:pt idx="12">
                  <c:v>5.6843108704731271E-4</c:v>
                </c:pt>
                <c:pt idx="13">
                  <c:v>6.8320958250539423E-4</c:v>
                </c:pt>
                <c:pt idx="14">
                  <c:v>8.137649030369251E-4</c:v>
                </c:pt>
                <c:pt idx="15">
                  <c:v>9.5853183641187215E-4</c:v>
                </c:pt>
                <c:pt idx="16">
                  <c:v>1.1082795149548333E-3</c:v>
                </c:pt>
                <c:pt idx="17">
                  <c:v>1.2997912826398005E-3</c:v>
                </c:pt>
              </c:numCache>
            </c:numRef>
          </c:yVal>
          <c:smooth val="1"/>
          <c:extLst>
            <c:ext xmlns:c16="http://schemas.microsoft.com/office/drawing/2014/chart" uri="{C3380CC4-5D6E-409C-BE32-E72D297353CC}">
              <c16:uniqueId val="{00000003-EE24-4965-B28F-0F462671E8D9}"/>
            </c:ext>
          </c:extLst>
        </c:ser>
        <c:ser>
          <c:idx val="2"/>
          <c:order val="2"/>
          <c:tx>
            <c:strRef>
              <c:f>'Sensitivity Analysis'!$E$3</c:f>
              <c:strCache>
                <c:ptCount val="1"/>
                <c:pt idx="0">
                  <c:v>Upper</c:v>
                </c:pt>
              </c:strCache>
            </c:strRef>
          </c:tx>
          <c:spPr>
            <a:ln w="19050" cap="rnd">
              <a:solidFill>
                <a:schemeClr val="accent3"/>
              </a:solidFill>
              <a:round/>
            </a:ln>
            <a:effectLst/>
          </c:spPr>
          <c:marker>
            <c:symbol val="none"/>
          </c:marker>
          <c:xVal>
            <c:numRef>
              <c:f>'Sensitivity Analysis'!$B$4:$B$21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Analysis'!$E$4:$E$21</c:f>
              <c:numCache>
                <c:formatCode>0.00%</c:formatCode>
                <c:ptCount val="18"/>
                <c:pt idx="0">
                  <c:v>4.5267115091401233E-4</c:v>
                </c:pt>
                <c:pt idx="1">
                  <c:v>4.5713937447481684E-4</c:v>
                </c:pt>
                <c:pt idx="2">
                  <c:v>4.6271530162678539E-4</c:v>
                </c:pt>
                <c:pt idx="3">
                  <c:v>4.6932874749253996E-4</c:v>
                </c:pt>
                <c:pt idx="4">
                  <c:v>4.7692600012466056E-4</c:v>
                </c:pt>
                <c:pt idx="5">
                  <c:v>4.8546657271040714E-4</c:v>
                </c:pt>
                <c:pt idx="6">
                  <c:v>4.9492075000189201E-4</c:v>
                </c:pt>
                <c:pt idx="7">
                  <c:v>5.0526771432358791E-4</c:v>
                </c:pt>
                <c:pt idx="8">
                  <c:v>5.1649410049679951E-4</c:v>
                </c:pt>
                <c:pt idx="9">
                  <c:v>5.285928723275221E-4</c:v>
                </c:pt>
                <c:pt idx="10">
                  <c:v>5.4156244309965201E-4</c:v>
                </c:pt>
                <c:pt idx="11">
                  <c:v>6.4259292950724287E-4</c:v>
                </c:pt>
                <c:pt idx="12">
                  <c:v>7.7254968595196676E-4</c:v>
                </c:pt>
                <c:pt idx="13">
                  <c:v>9.2852178024727561E-4</c:v>
                </c:pt>
                <c:pt idx="14">
                  <c:v>1.1058259254820753E-3</c:v>
                </c:pt>
                <c:pt idx="15">
                  <c:v>1.3022793602398017E-3</c:v>
                </c:pt>
                <c:pt idx="16">
                  <c:v>1.5052719031060835E-3</c:v>
                </c:pt>
                <c:pt idx="17">
                  <c:v>1.764700945123364E-3</c:v>
                </c:pt>
              </c:numCache>
            </c:numRef>
          </c:yVal>
          <c:smooth val="1"/>
          <c:extLst>
            <c:ext xmlns:c16="http://schemas.microsoft.com/office/drawing/2014/chart" uri="{C3380CC4-5D6E-409C-BE32-E72D297353CC}">
              <c16:uniqueId val="{00000005-EE24-4965-B28F-0F462671E8D9}"/>
            </c:ext>
          </c:extLst>
        </c:ser>
        <c:dLbls>
          <c:showLegendKey val="0"/>
          <c:showVal val="0"/>
          <c:showCatName val="0"/>
          <c:showSerName val="0"/>
          <c:showPercent val="0"/>
          <c:showBubbleSize val="0"/>
        </c:dLbls>
        <c:axId val="290001368"/>
        <c:axId val="1608436232"/>
      </c:scatterChart>
      <c:valAx>
        <c:axId val="290001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436232"/>
        <c:crosses val="autoZero"/>
        <c:crossBetween val="midCat"/>
      </c:valAx>
      <c:valAx>
        <c:axId val="1608436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0013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GDP (SSP2)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'Sensitivity Analysis'!$C$24</c:f>
              <c:strCache>
                <c:ptCount val="1"/>
                <c:pt idx="0">
                  <c:v>Lower</c:v>
                </c:pt>
              </c:strCache>
            </c:strRef>
          </c:tx>
          <c:spPr>
            <a:ln w="19050" cap="rnd">
              <a:solidFill>
                <a:schemeClr val="accent1"/>
              </a:solidFill>
              <a:round/>
            </a:ln>
            <a:effectLst/>
          </c:spPr>
          <c:marker>
            <c:symbol val="none"/>
          </c:marker>
          <c:xVal>
            <c:numRef>
              <c:f>'Sensitivity Analysis'!$B$25:$B$42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Analysis'!$C$25:$C$42</c:f>
              <c:numCache>
                <c:formatCode>0.00%</c:formatCode>
                <c:ptCount val="18"/>
                <c:pt idx="0">
                  <c:v>2.1607209554580745E-4</c:v>
                </c:pt>
                <c:pt idx="1">
                  <c:v>2.2151975035566534E-4</c:v>
                </c:pt>
                <c:pt idx="2">
                  <c:v>2.2739060500682231E-4</c:v>
                </c:pt>
                <c:pt idx="3">
                  <c:v>2.3368507953741758E-4</c:v>
                </c:pt>
                <c:pt idx="4">
                  <c:v>2.4040603978812131E-4</c:v>
                </c:pt>
                <c:pt idx="5">
                  <c:v>2.47558507297659E-4</c:v>
                </c:pt>
                <c:pt idx="6">
                  <c:v>2.5514943309215186E-4</c:v>
                </c:pt>
                <c:pt idx="7">
                  <c:v>2.631875213571846E-4</c:v>
                </c:pt>
                <c:pt idx="8">
                  <c:v>2.7168309247239063E-4</c:v>
                </c:pt>
                <c:pt idx="9">
                  <c:v>2.8064797743475301E-4</c:v>
                </c:pt>
                <c:pt idx="10">
                  <c:v>2.900954375745966E-4</c:v>
                </c:pt>
                <c:pt idx="11">
                  <c:v>4.114017843180352E-4</c:v>
                </c:pt>
                <c:pt idx="12">
                  <c:v>5.8033825295183126E-4</c:v>
                </c:pt>
                <c:pt idx="13">
                  <c:v>7.8760484545954028E-4</c:v>
                </c:pt>
                <c:pt idx="14">
                  <c:v>1.0065090798904433E-3</c:v>
                </c:pt>
                <c:pt idx="15">
                  <c:v>1.2341547433192567E-3</c:v>
                </c:pt>
                <c:pt idx="16">
                  <c:v>1.4685797984202442E-3</c:v>
                </c:pt>
                <c:pt idx="17">
                  <c:v>1.720076451127132E-3</c:v>
                </c:pt>
              </c:numCache>
            </c:numRef>
          </c:yVal>
          <c:smooth val="1"/>
          <c:extLst>
            <c:ext xmlns:c16="http://schemas.microsoft.com/office/drawing/2014/chart" uri="{C3380CC4-5D6E-409C-BE32-E72D297353CC}">
              <c16:uniqueId val="{00000001-E316-4E11-82AF-AA3617C84D39}"/>
            </c:ext>
          </c:extLst>
        </c:ser>
        <c:ser>
          <c:idx val="1"/>
          <c:order val="1"/>
          <c:tx>
            <c:strRef>
              <c:f>'Sensitivity Analysis'!$D$24</c:f>
              <c:strCache>
                <c:ptCount val="1"/>
                <c:pt idx="0">
                  <c:v>Average</c:v>
                </c:pt>
              </c:strCache>
            </c:strRef>
          </c:tx>
          <c:spPr>
            <a:ln w="19050" cap="rnd">
              <a:solidFill>
                <a:schemeClr val="accent2"/>
              </a:solidFill>
              <a:round/>
            </a:ln>
            <a:effectLst/>
          </c:spPr>
          <c:marker>
            <c:symbol val="none"/>
          </c:marker>
          <c:xVal>
            <c:numRef>
              <c:f>'Sensitivity Analysis'!$B$25:$B$42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Analysis'!$D$25:$D$42</c:f>
              <c:numCache>
                <c:formatCode>0.00%</c:formatCode>
                <c:ptCount val="18"/>
                <c:pt idx="0">
                  <c:v>3.332702878804354E-4</c:v>
                </c:pt>
                <c:pt idx="1">
                  <c:v>3.4170267899106372E-4</c:v>
                </c:pt>
                <c:pt idx="2">
                  <c:v>3.5078916038141757E-4</c:v>
                </c:pt>
                <c:pt idx="3">
                  <c:v>3.6053053447263403E-4</c:v>
                </c:pt>
                <c:pt idx="4">
                  <c:v>3.7093137523245336E-4</c:v>
                </c:pt>
                <c:pt idx="5">
                  <c:v>3.8199958216679112E-4</c:v>
                </c:pt>
                <c:pt idx="6">
                  <c:v>3.9374603264813143E-4</c:v>
                </c:pt>
                <c:pt idx="7">
                  <c:v>4.0618431102177916E-4</c:v>
                </c:pt>
                <c:pt idx="8">
                  <c:v>4.1933049830270545E-4</c:v>
                </c:pt>
                <c:pt idx="9">
                  <c:v>4.3320301019410273E-4</c:v>
                </c:pt>
                <c:pt idx="10">
                  <c:v>4.4782247404827981E-4</c:v>
                </c:pt>
                <c:pt idx="11">
                  <c:v>6.3549228915667742E-4</c:v>
                </c:pt>
                <c:pt idx="12">
                  <c:v>8.9684059499332478E-4</c:v>
                </c:pt>
                <c:pt idx="13">
                  <c:v>1.2174299637171119E-3</c:v>
                </c:pt>
                <c:pt idx="14">
                  <c:v>1.5559347184980433E-3</c:v>
                </c:pt>
                <c:pt idx="15">
                  <c:v>1.9077415497051344E-3</c:v>
                </c:pt>
                <c:pt idx="16">
                  <c:v>2.2697110631062015E-3</c:v>
                </c:pt>
                <c:pt idx="17">
                  <c:v>2.6577417384791992E-3</c:v>
                </c:pt>
              </c:numCache>
            </c:numRef>
          </c:yVal>
          <c:smooth val="1"/>
          <c:extLst>
            <c:ext xmlns:c16="http://schemas.microsoft.com/office/drawing/2014/chart" uri="{C3380CC4-5D6E-409C-BE32-E72D297353CC}">
              <c16:uniqueId val="{00000003-E316-4E11-82AF-AA3617C84D39}"/>
            </c:ext>
          </c:extLst>
        </c:ser>
        <c:ser>
          <c:idx val="2"/>
          <c:order val="2"/>
          <c:tx>
            <c:strRef>
              <c:f>'Sensitivity Analysis'!$E$24</c:f>
              <c:strCache>
                <c:ptCount val="1"/>
                <c:pt idx="0">
                  <c:v>Upper</c:v>
                </c:pt>
              </c:strCache>
            </c:strRef>
          </c:tx>
          <c:spPr>
            <a:ln w="19050" cap="rnd">
              <a:solidFill>
                <a:schemeClr val="accent3"/>
              </a:solidFill>
              <a:round/>
            </a:ln>
            <a:effectLst/>
          </c:spPr>
          <c:marker>
            <c:symbol val="none"/>
          </c:marker>
          <c:xVal>
            <c:numRef>
              <c:f>'Sensitivity Analysis'!$B$25:$B$42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Analysis'!$E$25:$E$42</c:f>
              <c:numCache>
                <c:formatCode>0.00%</c:formatCode>
                <c:ptCount val="18"/>
                <c:pt idx="0">
                  <c:v>4.5267115091401233E-4</c:v>
                </c:pt>
                <c:pt idx="1">
                  <c:v>4.6414478123226751E-4</c:v>
                </c:pt>
                <c:pt idx="2">
                  <c:v>4.7650775000604364E-4</c:v>
                </c:pt>
                <c:pt idx="3">
                  <c:v>4.8976125132683913E-4</c:v>
                </c:pt>
                <c:pt idx="4">
                  <c:v>5.0391160148161962E-4</c:v>
                </c:pt>
                <c:pt idx="5">
                  <c:v>5.1896963413001779E-4</c:v>
                </c:pt>
                <c:pt idx="6">
                  <c:v>5.3495022890580031E-4</c:v>
                </c:pt>
                <c:pt idx="7">
                  <c:v>5.5187194419460521E-4</c:v>
                </c:pt>
                <c:pt idx="8">
                  <c:v>5.6975673212765921E-4</c:v>
                </c:pt>
                <c:pt idx="9">
                  <c:v>5.8862971914718832E-4</c:v>
                </c:pt>
                <c:pt idx="10">
                  <c:v>6.0851903941941149E-4</c:v>
                </c:pt>
                <c:pt idx="11">
                  <c:v>8.6380728522671613E-4</c:v>
                </c:pt>
                <c:pt idx="12">
                  <c:v>1.2193148580915845E-3</c:v>
                </c:pt>
                <c:pt idx="13">
                  <c:v>1.6553690802219431E-3</c:v>
                </c:pt>
                <c:pt idx="14">
                  <c:v>2.115733949424943E-3</c:v>
                </c:pt>
                <c:pt idx="15">
                  <c:v>2.5940448006300568E-3</c:v>
                </c:pt>
                <c:pt idx="16">
                  <c:v>3.0859612171382548E-3</c:v>
                </c:pt>
                <c:pt idx="17">
                  <c:v>3.6130936419658758E-3</c:v>
                </c:pt>
              </c:numCache>
            </c:numRef>
          </c:yVal>
          <c:smooth val="1"/>
          <c:extLst>
            <c:ext xmlns:c16="http://schemas.microsoft.com/office/drawing/2014/chart" uri="{C3380CC4-5D6E-409C-BE32-E72D297353CC}">
              <c16:uniqueId val="{00000005-E316-4E11-82AF-AA3617C84D39}"/>
            </c:ext>
          </c:extLst>
        </c:ser>
        <c:dLbls>
          <c:showLegendKey val="0"/>
          <c:showVal val="0"/>
          <c:showCatName val="0"/>
          <c:showSerName val="0"/>
          <c:showPercent val="0"/>
          <c:showBubbleSize val="0"/>
        </c:dLbls>
        <c:axId val="450793704"/>
        <c:axId val="1468943575"/>
      </c:scatterChart>
      <c:valAx>
        <c:axId val="450793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943575"/>
        <c:crosses val="autoZero"/>
        <c:crossBetween val="midCat"/>
      </c:valAx>
      <c:valAx>
        <c:axId val="1468943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7937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GDP (SSP3)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'Sensitivity Analysis'!$C$45</c:f>
              <c:strCache>
                <c:ptCount val="1"/>
                <c:pt idx="0">
                  <c:v>Lower</c:v>
                </c:pt>
              </c:strCache>
            </c:strRef>
          </c:tx>
          <c:spPr>
            <a:ln w="19050" cap="rnd">
              <a:solidFill>
                <a:schemeClr val="accent1"/>
              </a:solidFill>
              <a:round/>
            </a:ln>
            <a:effectLst/>
          </c:spPr>
          <c:marker>
            <c:symbol val="none"/>
          </c:marker>
          <c:xVal>
            <c:numRef>
              <c:f>'Sensitivity Analysis'!$B$46:$B$63</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Analysis'!$C$46:$C$63</c:f>
              <c:numCache>
                <c:formatCode>0.00%</c:formatCode>
                <c:ptCount val="18"/>
                <c:pt idx="0">
                  <c:v>2.1607209554580745E-4</c:v>
                </c:pt>
                <c:pt idx="1">
                  <c:v>2.248061996594661E-4</c:v>
                </c:pt>
                <c:pt idx="2">
                  <c:v>2.3402546849747889E-4</c:v>
                </c:pt>
                <c:pt idx="3">
                  <c:v>2.4374785246193516E-4</c:v>
                </c:pt>
                <c:pt idx="4">
                  <c:v>2.5399269407127455E-4</c:v>
                </c:pt>
                <c:pt idx="5">
                  <c:v>2.6478071586003899E-4</c:v>
                </c:pt>
                <c:pt idx="6">
                  <c:v>2.7613402000544937E-4</c:v>
                </c:pt>
                <c:pt idx="7">
                  <c:v>2.8807609792361319E-4</c:v>
                </c:pt>
                <c:pt idx="8">
                  <c:v>3.0063184847463434E-4</c:v>
                </c:pt>
                <c:pt idx="9">
                  <c:v>3.1382760372119779E-4</c:v>
                </c:pt>
                <c:pt idx="10">
                  <c:v>3.2769116142234182E-4</c:v>
                </c:pt>
                <c:pt idx="11">
                  <c:v>5.5296785417000298E-4</c:v>
                </c:pt>
                <c:pt idx="12">
                  <c:v>9.5161221826444884E-4</c:v>
                </c:pt>
                <c:pt idx="13">
                  <c:v>1.6505123353119534E-3</c:v>
                </c:pt>
                <c:pt idx="14">
                  <c:v>2.8040628856220531E-3</c:v>
                </c:pt>
                <c:pt idx="15">
                  <c:v>4.5890783701467474E-3</c:v>
                </c:pt>
                <c:pt idx="16">
                  <c:v>7.2905004413949736E-3</c:v>
                </c:pt>
                <c:pt idx="17">
                  <c:v>1.1367955021891208E-2</c:v>
                </c:pt>
              </c:numCache>
            </c:numRef>
          </c:yVal>
          <c:smooth val="1"/>
          <c:extLst>
            <c:ext xmlns:c16="http://schemas.microsoft.com/office/drawing/2014/chart" uri="{C3380CC4-5D6E-409C-BE32-E72D297353CC}">
              <c16:uniqueId val="{00000001-972D-4EFD-A85D-AC3B7544A284}"/>
            </c:ext>
          </c:extLst>
        </c:ser>
        <c:ser>
          <c:idx val="1"/>
          <c:order val="1"/>
          <c:tx>
            <c:strRef>
              <c:f>'Sensitivity Analysis'!$D$45</c:f>
              <c:strCache>
                <c:ptCount val="1"/>
                <c:pt idx="0">
                  <c:v>Average</c:v>
                </c:pt>
              </c:strCache>
            </c:strRef>
          </c:tx>
          <c:spPr>
            <a:ln w="19050" cap="rnd">
              <a:solidFill>
                <a:schemeClr val="accent2"/>
              </a:solidFill>
              <a:round/>
            </a:ln>
            <a:effectLst/>
          </c:spPr>
          <c:marker>
            <c:symbol val="none"/>
          </c:marker>
          <c:xVal>
            <c:numRef>
              <c:f>'Sensitivity Analysis'!$B$46:$B$63</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Analysis'!$D$46:$D$63</c:f>
              <c:numCache>
                <c:formatCode>0.00%</c:formatCode>
                <c:ptCount val="18"/>
                <c:pt idx="0">
                  <c:v>3.332702878804354E-4</c:v>
                </c:pt>
                <c:pt idx="1">
                  <c:v>3.4677914849151202E-4</c:v>
                </c:pt>
                <c:pt idx="2">
                  <c:v>3.6103901865513729E-4</c:v>
                </c:pt>
                <c:pt idx="3">
                  <c:v>3.7607779492373409E-4</c:v>
                </c:pt>
                <c:pt idx="4">
                  <c:v>3.9192552973293232E-4</c:v>
                </c:pt>
                <c:pt idx="5">
                  <c:v>4.0861441365733437E-4</c:v>
                </c:pt>
                <c:pt idx="6">
                  <c:v>4.2617877572741447E-4</c:v>
                </c:pt>
                <c:pt idx="7">
                  <c:v>4.4465509910938527E-4</c:v>
                </c:pt>
                <c:pt idx="8">
                  <c:v>4.6408205005916996E-4</c:v>
                </c:pt>
                <c:pt idx="9">
                  <c:v>4.845005185308461E-4</c:v>
                </c:pt>
                <c:pt idx="10">
                  <c:v>5.059536691844204E-4</c:v>
                </c:pt>
                <c:pt idx="11">
                  <c:v>8.5452547720349175E-4</c:v>
                </c:pt>
                <c:pt idx="12">
                  <c:v>1.471674108988964E-3</c:v>
                </c:pt>
                <c:pt idx="13">
                  <c:v>2.5540871812853284E-3</c:v>
                </c:pt>
                <c:pt idx="14">
                  <c:v>4.3414017951583783E-3</c:v>
                </c:pt>
                <c:pt idx="15">
                  <c:v>7.1083005353083997E-3</c:v>
                </c:pt>
                <c:pt idx="16">
                  <c:v>1.1297503241092346E-2</c:v>
                </c:pt>
                <c:pt idx="17">
                  <c:v>1.7623016429586455E-2</c:v>
                </c:pt>
              </c:numCache>
            </c:numRef>
          </c:yVal>
          <c:smooth val="1"/>
          <c:extLst>
            <c:ext xmlns:c16="http://schemas.microsoft.com/office/drawing/2014/chart" uri="{C3380CC4-5D6E-409C-BE32-E72D297353CC}">
              <c16:uniqueId val="{00000003-972D-4EFD-A85D-AC3B7544A284}"/>
            </c:ext>
          </c:extLst>
        </c:ser>
        <c:ser>
          <c:idx val="2"/>
          <c:order val="2"/>
          <c:tx>
            <c:strRef>
              <c:f>'Sensitivity Analysis'!$E$45</c:f>
              <c:strCache>
                <c:ptCount val="1"/>
                <c:pt idx="0">
                  <c:v>Upper</c:v>
                </c:pt>
              </c:strCache>
            </c:strRef>
          </c:tx>
          <c:spPr>
            <a:ln w="19050" cap="rnd">
              <a:solidFill>
                <a:schemeClr val="accent3"/>
              </a:solidFill>
              <a:round/>
            </a:ln>
            <a:effectLst/>
          </c:spPr>
          <c:marker>
            <c:symbol val="none"/>
          </c:marker>
          <c:xVal>
            <c:numRef>
              <c:f>'Sensitivity Analysis'!$B$46:$B$63</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Analysis'!$E$46:$E$63</c:f>
              <c:numCache>
                <c:formatCode>0.00%</c:formatCode>
                <c:ptCount val="18"/>
                <c:pt idx="0">
                  <c:v>4.5267115091401233E-4</c:v>
                </c:pt>
                <c:pt idx="1">
                  <c:v>4.7104501442047118E-4</c:v>
                </c:pt>
                <c:pt idx="2">
                  <c:v>4.9044076526590303E-4</c:v>
                </c:pt>
                <c:pt idx="3">
                  <c:v>5.1089643593663569E-4</c:v>
                </c:pt>
                <c:pt idx="4">
                  <c:v>5.3245299304156542E-4</c:v>
                </c:pt>
                <c:pt idx="5">
                  <c:v>5.5515431383035686E-4</c:v>
                </c:pt>
                <c:pt idx="6">
                  <c:v>5.7904718722577369E-4</c:v>
                </c:pt>
                <c:pt idx="7">
                  <c:v>6.0418133571348562E-4</c:v>
                </c:pt>
                <c:pt idx="8">
                  <c:v>6.3060945525880707E-4</c:v>
                </c:pt>
                <c:pt idx="9">
                  <c:v>6.5838727105603035E-4</c:v>
                </c:pt>
                <c:pt idx="10">
                  <c:v>6.8757360741025168E-4</c:v>
                </c:pt>
                <c:pt idx="11">
                  <c:v>1.1617727995050337E-3</c:v>
                </c:pt>
                <c:pt idx="12">
                  <c:v>2.001563324298444E-3</c:v>
                </c:pt>
                <c:pt idx="13">
                  <c:v>3.474757427446021E-3</c:v>
                </c:pt>
                <c:pt idx="14">
                  <c:v>5.9078570760944839E-3</c:v>
                </c:pt>
                <c:pt idx="15">
                  <c:v>9.6752789973175695E-3</c:v>
                </c:pt>
                <c:pt idx="16">
                  <c:v>1.5380530398596642E-2</c:v>
                </c:pt>
                <c:pt idx="17">
                  <c:v>2.3996848345542714E-2</c:v>
                </c:pt>
              </c:numCache>
            </c:numRef>
          </c:yVal>
          <c:smooth val="1"/>
          <c:extLst>
            <c:ext xmlns:c16="http://schemas.microsoft.com/office/drawing/2014/chart" uri="{C3380CC4-5D6E-409C-BE32-E72D297353CC}">
              <c16:uniqueId val="{00000005-972D-4EFD-A85D-AC3B7544A284}"/>
            </c:ext>
          </c:extLst>
        </c:ser>
        <c:dLbls>
          <c:showLegendKey val="0"/>
          <c:showVal val="0"/>
          <c:showCatName val="0"/>
          <c:showSerName val="0"/>
          <c:showPercent val="0"/>
          <c:showBubbleSize val="0"/>
        </c:dLbls>
        <c:axId val="29320968"/>
        <c:axId val="1695372120"/>
      </c:scatterChart>
      <c:valAx>
        <c:axId val="29320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372120"/>
        <c:crosses val="autoZero"/>
        <c:crossBetween val="midCat"/>
      </c:valAx>
      <c:valAx>
        <c:axId val="1695372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09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GDP (SSP5)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'Sensitivity Analysis'!$C$66</c:f>
              <c:strCache>
                <c:ptCount val="1"/>
                <c:pt idx="0">
                  <c:v>Lower</c:v>
                </c:pt>
              </c:strCache>
            </c:strRef>
          </c:tx>
          <c:spPr>
            <a:ln w="19050" cap="rnd">
              <a:solidFill>
                <a:schemeClr val="accent1"/>
              </a:solidFill>
              <a:round/>
            </a:ln>
            <a:effectLst/>
          </c:spPr>
          <c:marker>
            <c:symbol val="none"/>
          </c:marker>
          <c:xVal>
            <c:numRef>
              <c:f>'Sensitivity Analysis'!$B$67:$B$84</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Analysis'!$C$67:$C$84</c:f>
              <c:numCache>
                <c:formatCode>0.00%</c:formatCode>
                <c:ptCount val="18"/>
                <c:pt idx="0">
                  <c:v>2.1607209554580745E-4</c:v>
                </c:pt>
                <c:pt idx="1">
                  <c:v>2.1847606424601779E-4</c:v>
                </c:pt>
                <c:pt idx="2">
                  <c:v>2.2137777611746923E-4</c:v>
                </c:pt>
                <c:pt idx="3">
                  <c:v>2.251785807244103E-4</c:v>
                </c:pt>
                <c:pt idx="4">
                  <c:v>2.2983094711476816E-4</c:v>
                </c:pt>
                <c:pt idx="5">
                  <c:v>2.3530393740895628E-4</c:v>
                </c:pt>
                <c:pt idx="6">
                  <c:v>2.4157991733753591E-4</c:v>
                </c:pt>
                <c:pt idx="7">
                  <c:v>2.4865218577096239E-4</c:v>
                </c:pt>
                <c:pt idx="8">
                  <c:v>2.5652325515667279E-4</c:v>
                </c:pt>
                <c:pt idx="9">
                  <c:v>2.6520360179258862E-4</c:v>
                </c:pt>
                <c:pt idx="10">
                  <c:v>2.7429481580453668E-4</c:v>
                </c:pt>
                <c:pt idx="11">
                  <c:v>3.8257493957432253E-4</c:v>
                </c:pt>
                <c:pt idx="12">
                  <c:v>6.2758404142348285E-4</c:v>
                </c:pt>
                <c:pt idx="13">
                  <c:v>1.1525582513509818E-3</c:v>
                </c:pt>
                <c:pt idx="14">
                  <c:v>2.2695216488177634E-3</c:v>
                </c:pt>
                <c:pt idx="15">
                  <c:v>4.666992731955936E-3</c:v>
                </c:pt>
                <c:pt idx="16">
                  <c:v>9.533882521541772E-3</c:v>
                </c:pt>
                <c:pt idx="17">
                  <c:v>1.8699062245100519E-2</c:v>
                </c:pt>
              </c:numCache>
            </c:numRef>
          </c:yVal>
          <c:smooth val="1"/>
          <c:extLst>
            <c:ext xmlns:c16="http://schemas.microsoft.com/office/drawing/2014/chart" uri="{C3380CC4-5D6E-409C-BE32-E72D297353CC}">
              <c16:uniqueId val="{00000001-549B-483B-84D7-7DE980DDA767}"/>
            </c:ext>
          </c:extLst>
        </c:ser>
        <c:ser>
          <c:idx val="1"/>
          <c:order val="1"/>
          <c:tx>
            <c:strRef>
              <c:f>'Sensitivity Analysis'!$D$66</c:f>
              <c:strCache>
                <c:ptCount val="1"/>
                <c:pt idx="0">
                  <c:v>Average</c:v>
                </c:pt>
              </c:strCache>
            </c:strRef>
          </c:tx>
          <c:spPr>
            <a:ln w="19050" cap="rnd">
              <a:solidFill>
                <a:schemeClr val="accent2"/>
              </a:solidFill>
              <a:round/>
            </a:ln>
            <a:effectLst/>
          </c:spPr>
          <c:marker>
            <c:symbol val="none"/>
          </c:marker>
          <c:xVal>
            <c:numRef>
              <c:f>'Sensitivity Analysis'!$B$67:$B$84</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Analysis'!$D$67:$D$84</c:f>
              <c:numCache>
                <c:formatCode>0.00%</c:formatCode>
                <c:ptCount val="18"/>
                <c:pt idx="0">
                  <c:v>3.332702878804354E-4</c:v>
                </c:pt>
                <c:pt idx="1">
                  <c:v>3.370458568179643E-4</c:v>
                </c:pt>
                <c:pt idx="2">
                  <c:v>3.4151814696203094E-4</c:v>
                </c:pt>
                <c:pt idx="3">
                  <c:v>3.4738585581140917E-4</c:v>
                </c:pt>
                <c:pt idx="4">
                  <c:v>3.545754434476152E-4</c:v>
                </c:pt>
                <c:pt idx="5">
                  <c:v>3.6303915142563451E-4</c:v>
                </c:pt>
                <c:pt idx="6">
                  <c:v>3.7274989686744806E-4</c:v>
                </c:pt>
                <c:pt idx="7">
                  <c:v>3.8369759403419326E-4</c:v>
                </c:pt>
                <c:pt idx="8">
                  <c:v>3.9588648695607217E-4</c:v>
                </c:pt>
                <c:pt idx="9">
                  <c:v>4.0933321188019661E-4</c:v>
                </c:pt>
                <c:pt idx="10">
                  <c:v>4.2335294999214977E-4</c:v>
                </c:pt>
                <c:pt idx="11">
                  <c:v>5.9073464572543134E-4</c:v>
                </c:pt>
                <c:pt idx="12">
                  <c:v>9.6926602124835668E-4</c:v>
                </c:pt>
                <c:pt idx="13">
                  <c:v>1.7800787267649608E-3</c:v>
                </c:pt>
                <c:pt idx="14">
                  <c:v>3.5046302129237675E-3</c:v>
                </c:pt>
                <c:pt idx="15">
                  <c:v>7.204517746788746E-3</c:v>
                </c:pt>
                <c:pt idx="16">
                  <c:v>1.4710607888183302E-2</c:v>
                </c:pt>
                <c:pt idx="17">
                  <c:v>2.8834740837997981E-2</c:v>
                </c:pt>
              </c:numCache>
            </c:numRef>
          </c:yVal>
          <c:smooth val="1"/>
          <c:extLst>
            <c:ext xmlns:c16="http://schemas.microsoft.com/office/drawing/2014/chart" uri="{C3380CC4-5D6E-409C-BE32-E72D297353CC}">
              <c16:uniqueId val="{00000003-549B-483B-84D7-7DE980DDA767}"/>
            </c:ext>
          </c:extLst>
        </c:ser>
        <c:ser>
          <c:idx val="2"/>
          <c:order val="2"/>
          <c:tx>
            <c:strRef>
              <c:f>'Sensitivity Analysis'!$E$66</c:f>
              <c:strCache>
                <c:ptCount val="1"/>
                <c:pt idx="0">
                  <c:v>Upper</c:v>
                </c:pt>
              </c:strCache>
            </c:strRef>
          </c:tx>
          <c:spPr>
            <a:ln w="19050" cap="rnd">
              <a:solidFill>
                <a:schemeClr val="accent3"/>
              </a:solidFill>
              <a:round/>
            </a:ln>
            <a:effectLst/>
          </c:spPr>
          <c:marker>
            <c:symbol val="none"/>
          </c:marker>
          <c:xVal>
            <c:numRef>
              <c:f>'Sensitivity Analysis'!$B$67:$B$84</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'Sensitivity Analysis'!$E$67:$E$84</c:f>
              <c:numCache>
                <c:formatCode>0.00%</c:formatCode>
                <c:ptCount val="18"/>
                <c:pt idx="0">
                  <c:v>4.5267115091401233E-4</c:v>
                </c:pt>
                <c:pt idx="1">
                  <c:v>4.57837291921247E-4</c:v>
                </c:pt>
                <c:pt idx="2">
                  <c:v>4.6390938865386585E-4</c:v>
                </c:pt>
                <c:pt idx="3">
                  <c:v>4.718827671220676E-4</c:v>
                </c:pt>
                <c:pt idx="4">
                  <c:v>4.8165738520853854E-4</c:v>
                </c:pt>
                <c:pt idx="5">
                  <c:v>4.9316834788548452E-4</c:v>
                </c:pt>
                <c:pt idx="6">
                  <c:v>5.0637894998547216E-4</c:v>
                </c:pt>
                <c:pt idx="7">
                  <c:v>5.2127566472573688E-4</c:v>
                </c:pt>
                <c:pt idx="8">
                  <c:v>5.3786451037421445E-4</c:v>
                </c:pt>
                <c:pt idx="9">
                  <c:v>5.5616841172119588E-4</c:v>
                </c:pt>
                <c:pt idx="10">
                  <c:v>5.7521634607555756E-4</c:v>
                </c:pt>
                <c:pt idx="11">
                  <c:v>8.0281542313826132E-4</c:v>
                </c:pt>
                <c:pt idx="12">
                  <c:v>1.3173870879053735E-3</c:v>
                </c:pt>
                <c:pt idx="13">
                  <c:v>2.4194252809125803E-3</c:v>
                </c:pt>
                <c:pt idx="14">
                  <c:v>4.7630078135169609E-3</c:v>
                </c:pt>
                <c:pt idx="15">
                  <c:v>9.7898174078141775E-3</c:v>
                </c:pt>
                <c:pt idx="16">
                  <c:v>1.9984701735548061E-2</c:v>
                </c:pt>
                <c:pt idx="17">
                  <c:v>3.9160821736699554E-2</c:v>
                </c:pt>
              </c:numCache>
            </c:numRef>
          </c:yVal>
          <c:smooth val="1"/>
          <c:extLst>
            <c:ext xmlns:c16="http://schemas.microsoft.com/office/drawing/2014/chart" uri="{C3380CC4-5D6E-409C-BE32-E72D297353CC}">
              <c16:uniqueId val="{00000005-549B-483B-84D7-7DE980DDA767}"/>
            </c:ext>
          </c:extLst>
        </c:ser>
        <c:dLbls>
          <c:showLegendKey val="0"/>
          <c:showVal val="0"/>
          <c:showCatName val="0"/>
          <c:showSerName val="0"/>
          <c:showPercent val="0"/>
          <c:showBubbleSize val="0"/>
        </c:dLbls>
        <c:axId val="1810342759"/>
        <c:axId val="1633324039"/>
      </c:scatterChart>
      <c:valAx>
        <c:axId val="1810342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324039"/>
        <c:crosses val="autoZero"/>
        <c:crossBetween val="midCat"/>
      </c:valAx>
      <c:valAx>
        <c:axId val="1633324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427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466725</xdr:colOff>
      <xdr:row>0</xdr:row>
      <xdr:rowOff>114300</xdr:rowOff>
    </xdr:from>
    <xdr:to>
      <xdr:col>13</xdr:col>
      <xdr:colOff>161925</xdr:colOff>
      <xdr:row>13</xdr:row>
      <xdr:rowOff>0</xdr:rowOff>
    </xdr:to>
    <xdr:graphicFrame macro="">
      <xdr:nvGraphicFramePr>
        <xdr:cNvPr id="9" name="Chart 8">
          <a:extLst>
            <a:ext uri="{FF2B5EF4-FFF2-40B4-BE49-F238E27FC236}">
              <a16:creationId xmlns:a16="http://schemas.microsoft.com/office/drawing/2014/main" id="{50D9A1BC-9BB8-2636-6501-6ED16556E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22</xdr:row>
      <xdr:rowOff>38100</xdr:rowOff>
    </xdr:from>
    <xdr:to>
      <xdr:col>8</xdr:col>
      <xdr:colOff>342900</xdr:colOff>
      <xdr:row>36</xdr:row>
      <xdr:rowOff>114300</xdr:rowOff>
    </xdr:to>
    <xdr:graphicFrame macro="">
      <xdr:nvGraphicFramePr>
        <xdr:cNvPr id="5" name="Chart 4">
          <a:extLst>
            <a:ext uri="{FF2B5EF4-FFF2-40B4-BE49-F238E27FC236}">
              <a16:creationId xmlns:a16="http://schemas.microsoft.com/office/drawing/2014/main" id="{81E7CC92-6906-211D-EC49-979D18E99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104775</xdr:colOff>
      <xdr:row>45</xdr:row>
      <xdr:rowOff>171450</xdr:rowOff>
    </xdr:from>
    <xdr:to>
      <xdr:col>14</xdr:col>
      <xdr:colOff>409575</xdr:colOff>
      <xdr:row>60</xdr:row>
      <xdr:rowOff>57150</xdr:rowOff>
    </xdr:to>
    <xdr:graphicFrame macro="">
      <xdr:nvGraphicFramePr>
        <xdr:cNvPr id="11" name="Chart 1">
          <a:extLst>
            <a:ext uri="{FF2B5EF4-FFF2-40B4-BE49-F238E27FC236}">
              <a16:creationId xmlns:a16="http://schemas.microsoft.com/office/drawing/2014/main" id="{14D2B9F8-5441-BC34-18E9-A729016FA395}"/>
            </a:ext>
            <a:ext uri="{147F2762-F138-4A5C-976F-8EAC2B608ADB}">
              <a16:predDERef xmlns:a16="http://schemas.microsoft.com/office/drawing/2014/main" pred="{81E7CC92-6906-211D-EC49-979D18E99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438150</xdr:colOff>
      <xdr:row>4</xdr:row>
      <xdr:rowOff>114300</xdr:rowOff>
    </xdr:from>
    <xdr:to>
      <xdr:col>13</xdr:col>
      <xdr:colOff>133350</xdr:colOff>
      <xdr:row>19</xdr:row>
      <xdr:rowOff>0</xdr:rowOff>
    </xdr:to>
    <xdr:graphicFrame macro="">
      <xdr:nvGraphicFramePr>
        <xdr:cNvPr id="2" name="Chart 1">
          <a:extLst>
            <a:ext uri="{FF2B5EF4-FFF2-40B4-BE49-F238E27FC236}">
              <a16:creationId xmlns:a16="http://schemas.microsoft.com/office/drawing/2014/main" id="{CD1B5E0D-EA7C-7865-F2D4-A3FA28F1F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400050</xdr:colOff>
      <xdr:row>23</xdr:row>
      <xdr:rowOff>47625</xdr:rowOff>
    </xdr:from>
    <xdr:to>
      <xdr:col>13</xdr:col>
      <xdr:colOff>95250</xdr:colOff>
      <xdr:row>37</xdr:row>
      <xdr:rowOff>123825</xdr:rowOff>
    </xdr:to>
    <xdr:graphicFrame macro="">
      <xdr:nvGraphicFramePr>
        <xdr:cNvPr id="3" name="Chart 2">
          <a:extLst>
            <a:ext uri="{FF2B5EF4-FFF2-40B4-BE49-F238E27FC236}">
              <a16:creationId xmlns:a16="http://schemas.microsoft.com/office/drawing/2014/main" id="{D5CFEA7F-008F-32AD-E835-226777383052}"/>
            </a:ext>
            <a:ext uri="{147F2762-F138-4A5C-976F-8EAC2B608ADB}">
              <a16:predDERef xmlns:a16="http://schemas.microsoft.com/office/drawing/2014/main" pred="{CD1B5E0D-EA7C-7865-F2D4-A3FA28F1F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45</xdr:row>
      <xdr:rowOff>19050</xdr:rowOff>
    </xdr:from>
    <xdr:to>
      <xdr:col>13</xdr:col>
      <xdr:colOff>38100</xdr:colOff>
      <xdr:row>59</xdr:row>
      <xdr:rowOff>95250</xdr:rowOff>
    </xdr:to>
    <xdr:graphicFrame macro="">
      <xdr:nvGraphicFramePr>
        <xdr:cNvPr id="4" name="Chart 3">
          <a:extLst>
            <a:ext uri="{FF2B5EF4-FFF2-40B4-BE49-F238E27FC236}">
              <a16:creationId xmlns:a16="http://schemas.microsoft.com/office/drawing/2014/main" id="{1EB1C201-B609-C9A8-F258-9AF7FFF7BD09}"/>
            </a:ext>
            <a:ext uri="{147F2762-F138-4A5C-976F-8EAC2B608ADB}">
              <a16:predDERef xmlns:a16="http://schemas.microsoft.com/office/drawing/2014/main" pred="{D5CFEA7F-008F-32AD-E835-226777383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361950</xdr:colOff>
      <xdr:row>63</xdr:row>
      <xdr:rowOff>161925</xdr:rowOff>
    </xdr:from>
    <xdr:to>
      <xdr:col>13</xdr:col>
      <xdr:colOff>57150</xdr:colOff>
      <xdr:row>78</xdr:row>
      <xdr:rowOff>47625</xdr:rowOff>
    </xdr:to>
    <xdr:graphicFrame macro="">
      <xdr:nvGraphicFramePr>
        <xdr:cNvPr id="5" name="Chart 4">
          <a:extLst>
            <a:ext uri="{FF2B5EF4-FFF2-40B4-BE49-F238E27FC236}">
              <a16:creationId xmlns:a16="http://schemas.microsoft.com/office/drawing/2014/main" id="{6C834A61-7401-E682-F1AF-FC429CF76771}"/>
            </a:ext>
            <a:ext uri="{147F2762-F138-4A5C-976F-8EAC2B608ADB}">
              <a16:predDERef xmlns:a16="http://schemas.microsoft.com/office/drawing/2014/main" pred="{1EB1C201-B609-C9A8-F258-9AF7FFF7B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6F44B66-3F9D-4B7C-AFE3-D8AD2CD9BE89}" name="Table15" displayName="Table15" ref="A1:E61" totalsRowShown="0" headerRowDxfId="14" dataDxfId="13">
  <autoFilter ref="A1:E61" xr:uid="{D6F44B66-3F9D-4B7C-AFE3-D8AD2CD9BE89}"/>
  <tableColumns count="5">
    <tableColumn id="1" xr3:uid="{BD83543F-C6D6-46AD-8016-E3C3C67F7BAC}" name="Year" dataDxfId="12"/>
    <tableColumn id="2" xr3:uid="{1D0FC5F1-BC83-40E2-B981-FC5EEB22F9B0}" name="Inflation" dataDxfId="11"/>
    <tableColumn id="3" xr3:uid="{FC3F0C27-2BD5-46B1-B5E5-13D1AA7AFABB}" name="Government Overnight Bank Lending Rate" dataDxfId="10"/>
    <tableColumn id="4" xr3:uid="{BEFFCFE7-EF28-4A7D-AB09-24BAE724454D}" name="1-yr risk free rate" dataDxfId="9"/>
    <tableColumn id="5" xr3:uid="{DCEA54C7-3DC9-48E3-98A2-5CAABB0FEDBE}" name="10-yr risk free rate" dataDxfId="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ourworldindata.org/explorers/ipcc-scenario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0D0D"/>
  </sheetPr>
  <dimension ref="A1:H50"/>
  <sheetViews>
    <sheetView workbookViewId="0">
      <selection activeCell="A14" sqref="A14"/>
    </sheetView>
  </sheetViews>
  <sheetFormatPr defaultRowHeight="15"/>
  <cols>
    <col min="1" max="1" width="71" customWidth="1"/>
    <col min="2" max="2" width="14.42578125" customWidth="1"/>
    <col min="3" max="3" width="14.140625" customWidth="1"/>
    <col min="4" max="4" width="12.5703125" customWidth="1"/>
    <col min="5" max="5" width="13.28515625" customWidth="1"/>
    <col min="6" max="6" width="16.140625" customWidth="1"/>
    <col min="7" max="7" width="15.5703125" customWidth="1"/>
    <col min="8" max="8" width="12.7109375" customWidth="1"/>
  </cols>
  <sheetData>
    <row r="1" spans="1:8">
      <c r="A1" s="1" t="s">
        <v>0</v>
      </c>
      <c r="B1" s="2" t="s">
        <v>1</v>
      </c>
      <c r="C1" s="2" t="s">
        <v>2</v>
      </c>
      <c r="D1" s="2" t="s">
        <v>3</v>
      </c>
      <c r="E1" s="2" t="s">
        <v>4</v>
      </c>
      <c r="F1" s="2" t="s">
        <v>5</v>
      </c>
      <c r="G1" s="2" t="s">
        <v>6</v>
      </c>
    </row>
    <row r="2" spans="1:8">
      <c r="A2" s="3" t="s">
        <v>7</v>
      </c>
      <c r="B2" s="4">
        <v>6406008</v>
      </c>
      <c r="C2" s="4">
        <v>4386948</v>
      </c>
      <c r="D2" s="4">
        <v>5019684</v>
      </c>
      <c r="E2" s="4">
        <v>995544</v>
      </c>
      <c r="F2" s="4">
        <v>1257096</v>
      </c>
      <c r="G2" s="4">
        <v>313836</v>
      </c>
    </row>
    <row r="3" spans="1:8">
      <c r="A3" s="5" t="s">
        <v>8</v>
      </c>
      <c r="B3" s="6">
        <v>6306408</v>
      </c>
      <c r="C3" s="6">
        <v>4212348</v>
      </c>
      <c r="D3" s="6">
        <v>4993764</v>
      </c>
      <c r="E3" s="6">
        <v>1010676</v>
      </c>
      <c r="F3" s="6">
        <v>1266672</v>
      </c>
      <c r="G3" s="6">
        <v>307884</v>
      </c>
    </row>
    <row r="4" spans="1:8">
      <c r="A4" s="5" t="s">
        <v>9</v>
      </c>
      <c r="B4" s="6"/>
      <c r="C4" s="6">
        <v>3231492</v>
      </c>
      <c r="D4" s="6">
        <v>4614048</v>
      </c>
      <c r="E4" s="6">
        <v>1110012</v>
      </c>
      <c r="F4" s="6">
        <v>1289472</v>
      </c>
      <c r="G4" s="6">
        <v>323820</v>
      </c>
    </row>
    <row r="5" spans="1:8">
      <c r="A5" s="3" t="s">
        <v>10</v>
      </c>
      <c r="B5" s="7">
        <v>0.77200000000000002</v>
      </c>
      <c r="C5" s="7">
        <v>0.82699999999999996</v>
      </c>
      <c r="D5" s="7">
        <v>0.78500000000000003</v>
      </c>
      <c r="E5" s="7">
        <v>0.78100000000000003</v>
      </c>
      <c r="F5" s="7">
        <v>0.76</v>
      </c>
      <c r="G5" s="7">
        <v>0.82699999999999996</v>
      </c>
    </row>
    <row r="6" spans="1:8">
      <c r="A6" s="5" t="s">
        <v>11</v>
      </c>
      <c r="B6" s="8">
        <v>0.16500000000000001</v>
      </c>
      <c r="C6" s="8">
        <v>0.26100000000000001</v>
      </c>
      <c r="D6" s="8">
        <v>0.13700000000000001</v>
      </c>
      <c r="E6" s="8">
        <v>0.20899999999999999</v>
      </c>
      <c r="F6" s="8">
        <v>0.17199999999999999</v>
      </c>
      <c r="G6" s="8">
        <v>0.2</v>
      </c>
    </row>
    <row r="7" spans="1:8">
      <c r="A7" s="5" t="s">
        <v>12</v>
      </c>
      <c r="B7" s="6">
        <v>2791896</v>
      </c>
      <c r="C7" s="6">
        <v>2523732</v>
      </c>
      <c r="D7" s="6">
        <v>2212536</v>
      </c>
      <c r="E7" s="6">
        <v>496548</v>
      </c>
      <c r="F7" s="6">
        <v>566592</v>
      </c>
      <c r="G7" s="6">
        <v>135480</v>
      </c>
      <c r="H7" s="62"/>
    </row>
    <row r="8" spans="1:8">
      <c r="A8" s="3" t="s">
        <v>13</v>
      </c>
      <c r="B8" s="4">
        <v>1904073</v>
      </c>
      <c r="C8" s="4">
        <v>1862514</v>
      </c>
      <c r="D8" s="4">
        <v>1323096</v>
      </c>
      <c r="E8" s="4">
        <v>333680</v>
      </c>
      <c r="F8" s="4">
        <v>365451</v>
      </c>
      <c r="G8" s="4">
        <v>102693</v>
      </c>
    </row>
    <row r="9" spans="1:8">
      <c r="A9" s="5" t="s">
        <v>14</v>
      </c>
      <c r="B9" s="5" t="s">
        <v>15</v>
      </c>
      <c r="C9" s="5" t="s">
        <v>16</v>
      </c>
      <c r="D9" s="5" t="s">
        <v>17</v>
      </c>
      <c r="E9" s="5" t="s">
        <v>18</v>
      </c>
      <c r="F9" s="5" t="s">
        <v>19</v>
      </c>
      <c r="G9" s="5" t="s">
        <v>20</v>
      </c>
      <c r="H9" s="62"/>
    </row>
    <row r="10" spans="1:8">
      <c r="A10" s="5" t="s">
        <v>21</v>
      </c>
      <c r="B10" s="5" t="s">
        <v>22</v>
      </c>
      <c r="C10" s="5" t="s">
        <v>23</v>
      </c>
      <c r="D10" s="5" t="s">
        <v>24</v>
      </c>
      <c r="E10" s="5" t="s">
        <v>25</v>
      </c>
      <c r="F10" s="5" t="s">
        <v>26</v>
      </c>
      <c r="G10" s="5" t="s">
        <v>27</v>
      </c>
    </row>
    <row r="11" spans="1:8">
      <c r="A11" s="3" t="s">
        <v>28</v>
      </c>
      <c r="B11" s="3" t="s">
        <v>29</v>
      </c>
      <c r="C11" s="3" t="s">
        <v>30</v>
      </c>
      <c r="D11" s="3" t="s">
        <v>31</v>
      </c>
      <c r="E11" s="3" t="s">
        <v>32</v>
      </c>
      <c r="F11" s="3" t="s">
        <v>33</v>
      </c>
      <c r="G11" s="3" t="s">
        <v>34</v>
      </c>
    </row>
    <row r="12" spans="1:8">
      <c r="A12" s="5" t="s">
        <v>35</v>
      </c>
      <c r="B12" s="6">
        <v>95568</v>
      </c>
      <c r="C12" s="6">
        <v>83640</v>
      </c>
      <c r="D12" s="6">
        <v>39156</v>
      </c>
      <c r="E12" s="6">
        <v>1080</v>
      </c>
      <c r="F12" s="6">
        <v>4656</v>
      </c>
      <c r="G12" s="6">
        <v>2328</v>
      </c>
    </row>
    <row r="13" spans="1:8">
      <c r="A13" s="5" t="s">
        <v>36</v>
      </c>
      <c r="B13" s="8">
        <v>0.64800000000000002</v>
      </c>
      <c r="C13" s="8">
        <v>0.55300000000000005</v>
      </c>
      <c r="D13" s="8">
        <v>0.627</v>
      </c>
      <c r="E13" s="8">
        <v>0.54900000000000004</v>
      </c>
      <c r="F13" s="8">
        <v>0.55700000000000005</v>
      </c>
      <c r="G13" s="8">
        <v>0.51</v>
      </c>
    </row>
    <row r="14" spans="1:8">
      <c r="A14" s="3" t="s">
        <v>37</v>
      </c>
      <c r="B14" s="4">
        <v>22342094</v>
      </c>
      <c r="C14" s="4">
        <v>36406400</v>
      </c>
      <c r="D14" s="4">
        <v>17508375</v>
      </c>
      <c r="E14" s="4">
        <v>2774258</v>
      </c>
      <c r="F14" s="4">
        <v>2611585</v>
      </c>
      <c r="G14" s="4">
        <v>151132</v>
      </c>
    </row>
    <row r="15" spans="1:8">
      <c r="A15" s="5" t="s">
        <v>38</v>
      </c>
      <c r="B15" s="6">
        <v>51556220</v>
      </c>
      <c r="C15" s="6">
        <v>26864638</v>
      </c>
      <c r="D15" s="6">
        <v>70145543</v>
      </c>
      <c r="E15" s="6">
        <v>6658061</v>
      </c>
      <c r="F15" s="6">
        <v>9541905</v>
      </c>
      <c r="G15" s="6">
        <v>697773</v>
      </c>
    </row>
    <row r="16" spans="1:8">
      <c r="A16" s="5" t="s">
        <v>39</v>
      </c>
      <c r="B16" s="6">
        <v>13500228</v>
      </c>
      <c r="C16" s="6">
        <v>2862506</v>
      </c>
      <c r="D16" s="6">
        <v>3929251</v>
      </c>
      <c r="E16" s="6">
        <v>2234577</v>
      </c>
      <c r="F16" s="6">
        <v>2307892</v>
      </c>
      <c r="G16" s="184">
        <f>SUM(B16:F16)*(1+'Inflation-Interest'!B58)*(1+'Inflation-Interest'!B59)*(1+'Inflation-Interest'!B60)*('Demographic-Economic'!G29/SUM('Demographic-Economic'!B29:F29))</f>
        <v>199078.17395583095</v>
      </c>
    </row>
    <row r="17" spans="1:8">
      <c r="A17" s="3" t="s">
        <v>40</v>
      </c>
      <c r="B17" s="4">
        <v>120644546</v>
      </c>
      <c r="C17" s="4">
        <v>104661514</v>
      </c>
      <c r="D17" s="4">
        <v>86911348</v>
      </c>
      <c r="E17" s="4">
        <v>16147988</v>
      </c>
      <c r="F17" s="4">
        <v>17600539</v>
      </c>
      <c r="G17" s="4">
        <v>2241932</v>
      </c>
    </row>
    <row r="18" spans="1:8">
      <c r="A18" s="5" t="s">
        <v>41</v>
      </c>
      <c r="B18" s="5" t="s">
        <v>42</v>
      </c>
      <c r="C18" s="5" t="s">
        <v>43</v>
      </c>
      <c r="D18" s="5" t="s">
        <v>44</v>
      </c>
      <c r="E18" s="5" t="s">
        <v>45</v>
      </c>
      <c r="F18" s="5" t="s">
        <v>46</v>
      </c>
      <c r="G18" s="5" t="s">
        <v>47</v>
      </c>
    </row>
    <row r="19" spans="1:8">
      <c r="A19" s="5" t="s">
        <v>48</v>
      </c>
      <c r="B19" s="6">
        <v>2376180</v>
      </c>
      <c r="C19" s="6">
        <v>1634628</v>
      </c>
      <c r="D19" s="6">
        <v>1865736</v>
      </c>
      <c r="E19" s="6">
        <v>403548</v>
      </c>
      <c r="F19" s="6">
        <v>500448</v>
      </c>
      <c r="G19" s="6">
        <v>110052</v>
      </c>
    </row>
    <row r="20" spans="1:8">
      <c r="A20" s="3" t="s">
        <v>49</v>
      </c>
      <c r="B20" s="3">
        <v>2.5499999999999998</v>
      </c>
      <c r="C20" s="3">
        <v>2.4900000000000002</v>
      </c>
      <c r="D20" s="3">
        <v>2.4700000000000002</v>
      </c>
      <c r="E20" s="3">
        <v>2.5</v>
      </c>
      <c r="F20" s="3">
        <v>2.5</v>
      </c>
      <c r="G20" s="3">
        <v>2.65</v>
      </c>
    </row>
    <row r="21" spans="1:8">
      <c r="A21" s="5" t="s">
        <v>50</v>
      </c>
      <c r="B21" s="5" t="s">
        <v>51</v>
      </c>
      <c r="C21" s="5" t="s">
        <v>52</v>
      </c>
      <c r="D21" s="5" t="s">
        <v>53</v>
      </c>
      <c r="E21" s="5" t="s">
        <v>54</v>
      </c>
      <c r="F21" s="5" t="s">
        <v>55</v>
      </c>
      <c r="G21" s="5" t="s">
        <v>56</v>
      </c>
    </row>
    <row r="22" spans="1:8">
      <c r="A22" s="5" t="s">
        <v>57</v>
      </c>
      <c r="B22" s="5" t="s">
        <v>58</v>
      </c>
      <c r="C22" s="5" t="s">
        <v>59</v>
      </c>
      <c r="D22" s="5" t="s">
        <v>60</v>
      </c>
      <c r="E22" s="5" t="s">
        <v>61</v>
      </c>
      <c r="F22" s="5" t="s">
        <v>62</v>
      </c>
      <c r="G22" s="5" t="s">
        <v>63</v>
      </c>
    </row>
    <row r="23" spans="1:8">
      <c r="A23" s="3" t="s">
        <v>64</v>
      </c>
      <c r="B23" s="7">
        <v>0.121</v>
      </c>
      <c r="C23" s="7">
        <v>0.128</v>
      </c>
      <c r="D23" s="7">
        <v>0.16</v>
      </c>
      <c r="E23" s="7">
        <v>0.191</v>
      </c>
      <c r="F23" s="7">
        <v>0.20499999999999999</v>
      </c>
      <c r="G23" s="7">
        <v>0.16800000000000001</v>
      </c>
    </row>
    <row r="24" spans="1:8">
      <c r="A24" s="5" t="s">
        <v>65</v>
      </c>
      <c r="B24" s="6">
        <v>170172</v>
      </c>
      <c r="C24" s="6">
        <v>113688</v>
      </c>
      <c r="D24" s="6">
        <v>110220</v>
      </c>
      <c r="E24" s="6">
        <v>18924</v>
      </c>
      <c r="F24" s="6">
        <v>21132</v>
      </c>
      <c r="G24" s="6">
        <v>3888</v>
      </c>
    </row>
    <row r="25" spans="1:8">
      <c r="A25" s="5" t="s">
        <v>66</v>
      </c>
      <c r="B25" s="6">
        <v>2990424</v>
      </c>
      <c r="C25" s="6">
        <v>1412112</v>
      </c>
      <c r="D25" s="6">
        <v>1941528</v>
      </c>
      <c r="E25" s="6">
        <v>284904</v>
      </c>
      <c r="F25" s="6">
        <v>388428</v>
      </c>
      <c r="G25" s="6">
        <v>65676</v>
      </c>
    </row>
    <row r="26" spans="1:8">
      <c r="A26" s="3" t="s">
        <v>67</v>
      </c>
      <c r="B26" s="4">
        <v>186551503</v>
      </c>
      <c r="C26" s="4">
        <v>60187999</v>
      </c>
      <c r="D26" s="4">
        <v>116972082</v>
      </c>
      <c r="E26" s="4">
        <v>14470878</v>
      </c>
      <c r="F26" s="4">
        <v>20694659</v>
      </c>
      <c r="G26" s="4">
        <v>2989576</v>
      </c>
    </row>
    <row r="27" spans="1:8">
      <c r="A27" s="5" t="s">
        <v>68</v>
      </c>
      <c r="B27" s="5">
        <v>2.58</v>
      </c>
      <c r="C27" s="5">
        <v>1.19</v>
      </c>
      <c r="D27" s="5">
        <v>2.12</v>
      </c>
      <c r="E27" s="5">
        <v>0.28999999999999998</v>
      </c>
      <c r="F27" s="5">
        <v>0.61</v>
      </c>
      <c r="G27" s="5">
        <v>0.19</v>
      </c>
    </row>
    <row r="28" spans="1:8">
      <c r="A28" s="5" t="s">
        <v>69</v>
      </c>
      <c r="B28" s="6">
        <v>2442659</v>
      </c>
      <c r="C28" s="6">
        <v>3522311</v>
      </c>
      <c r="D28" s="6">
        <v>2353615</v>
      </c>
      <c r="E28" s="6">
        <v>3438613</v>
      </c>
      <c r="F28" s="6">
        <v>2067059</v>
      </c>
      <c r="G28" s="6">
        <v>1556199</v>
      </c>
    </row>
    <row r="29" spans="1:8">
      <c r="A29" s="3" t="s">
        <v>70</v>
      </c>
      <c r="B29" s="4">
        <v>531771287</v>
      </c>
      <c r="C29" s="4">
        <v>222153795</v>
      </c>
      <c r="D29" s="4">
        <v>417708522</v>
      </c>
      <c r="E29" s="4">
        <v>45815957</v>
      </c>
      <c r="F29" s="4">
        <v>69643447</v>
      </c>
      <c r="G29" s="4">
        <v>9845914</v>
      </c>
      <c r="H29" s="62"/>
    </row>
    <row r="30" spans="1:8">
      <c r="A30" s="5" t="s">
        <v>71</v>
      </c>
      <c r="B30" s="6">
        <v>534828123</v>
      </c>
      <c r="C30" s="6">
        <v>223457321</v>
      </c>
      <c r="D30" s="6">
        <v>414066160</v>
      </c>
      <c r="E30" s="6">
        <v>46354925</v>
      </c>
      <c r="F30" s="6">
        <v>68360180</v>
      </c>
      <c r="G30" s="6">
        <v>9766147</v>
      </c>
    </row>
    <row r="31" spans="1:8">
      <c r="A31" s="5" t="s">
        <v>72</v>
      </c>
      <c r="B31" s="6">
        <v>1920</v>
      </c>
      <c r="C31" s="6">
        <v>1829</v>
      </c>
      <c r="D31" s="6">
        <v>1925</v>
      </c>
      <c r="E31" s="6">
        <v>1639</v>
      </c>
      <c r="F31" s="6">
        <v>1599</v>
      </c>
      <c r="G31" s="6">
        <v>1653</v>
      </c>
      <c r="H31" s="204" t="s">
        <v>73</v>
      </c>
    </row>
    <row r="32" spans="1:8">
      <c r="A32" s="3" t="s">
        <v>74</v>
      </c>
      <c r="B32" s="7">
        <v>4.2999999999999997E-2</v>
      </c>
      <c r="C32" s="7">
        <v>6.3299999999999995E-2</v>
      </c>
      <c r="D32" s="7">
        <v>3.56E-2</v>
      </c>
      <c r="E32" s="7">
        <v>0.18820000000000001</v>
      </c>
      <c r="F32" s="7">
        <v>9.9599999999999994E-2</v>
      </c>
      <c r="G32" s="7">
        <v>7.5899999999999995E-2</v>
      </c>
      <c r="H32" s="204">
        <f>50000</f>
        <v>50000</v>
      </c>
    </row>
    <row r="33" spans="1:8">
      <c r="A33" s="5" t="s">
        <v>75</v>
      </c>
      <c r="B33" s="8">
        <v>4.5900000000000003E-2</v>
      </c>
      <c r="C33" s="8">
        <v>5.3699999999999998E-2</v>
      </c>
      <c r="D33" s="8">
        <v>6.2300000000000001E-2</v>
      </c>
      <c r="E33" s="8">
        <v>0.1888</v>
      </c>
      <c r="F33" s="8">
        <v>0.13969999999999999</v>
      </c>
      <c r="G33" s="8">
        <v>0.15790000000000001</v>
      </c>
      <c r="H33" s="204">
        <f>(50000+99000)/2</f>
        <v>74500</v>
      </c>
    </row>
    <row r="34" spans="1:8">
      <c r="A34" s="5" t="s">
        <v>76</v>
      </c>
      <c r="B34" s="8">
        <v>6.9500000000000006E-2</v>
      </c>
      <c r="C34" s="8">
        <v>6.93E-2</v>
      </c>
      <c r="D34" s="8">
        <v>0.1123</v>
      </c>
      <c r="E34" s="8">
        <v>0.1578</v>
      </c>
      <c r="F34" s="8">
        <v>0.18909999999999999</v>
      </c>
      <c r="G34" s="8">
        <v>0.1336</v>
      </c>
      <c r="H34" s="204">
        <f>(100000+149000)/2</f>
        <v>124500</v>
      </c>
    </row>
    <row r="35" spans="1:8">
      <c r="A35" s="3" t="s">
        <v>77</v>
      </c>
      <c r="B35" s="7">
        <v>0.16039999999999999</v>
      </c>
      <c r="C35" s="7">
        <v>0.15310000000000001</v>
      </c>
      <c r="D35" s="7">
        <v>0.21609999999999999</v>
      </c>
      <c r="E35" s="7">
        <v>0.1726</v>
      </c>
      <c r="F35" s="7">
        <v>0.1867</v>
      </c>
      <c r="G35" s="7">
        <v>0.1605</v>
      </c>
      <c r="H35" s="204">
        <f>(150000+199000)/2</f>
        <v>174500</v>
      </c>
    </row>
    <row r="36" spans="1:8">
      <c r="A36" s="5" t="s">
        <v>78</v>
      </c>
      <c r="B36" s="8">
        <v>0.10780000000000001</v>
      </c>
      <c r="C36" s="8">
        <v>0.112</v>
      </c>
      <c r="D36" s="8">
        <v>0.1053</v>
      </c>
      <c r="E36" s="8">
        <v>8.7599999999999997E-2</v>
      </c>
      <c r="F36" s="8">
        <v>0.1192</v>
      </c>
      <c r="G36" s="8">
        <v>0.10249999999999999</v>
      </c>
      <c r="H36" s="204">
        <f>(200000+249000)/2</f>
        <v>224500</v>
      </c>
    </row>
    <row r="37" spans="1:8">
      <c r="A37" s="5" t="s">
        <v>79</v>
      </c>
      <c r="B37" s="8">
        <v>8.1799999999999998E-2</v>
      </c>
      <c r="C37" s="8">
        <v>9.4700000000000006E-2</v>
      </c>
      <c r="D37" s="8">
        <v>7.6100000000000001E-2</v>
      </c>
      <c r="E37" s="8">
        <v>3.3700000000000001E-2</v>
      </c>
      <c r="F37" s="8">
        <v>6.7900000000000002E-2</v>
      </c>
      <c r="G37" s="8">
        <v>5.8200000000000002E-2</v>
      </c>
      <c r="H37" s="204">
        <f>(250000+299000)/2</f>
        <v>274500</v>
      </c>
    </row>
    <row r="38" spans="1:8">
      <c r="A38" s="3" t="s">
        <v>80</v>
      </c>
      <c r="B38" s="7">
        <v>0.22919999999999999</v>
      </c>
      <c r="C38" s="7">
        <v>0.24440000000000001</v>
      </c>
      <c r="D38" s="7">
        <v>0.18940000000000001</v>
      </c>
      <c r="E38" s="7">
        <v>0.1013</v>
      </c>
      <c r="F38" s="7">
        <v>0.126</v>
      </c>
      <c r="G38" s="7">
        <v>0.17019999999999999</v>
      </c>
      <c r="H38" s="204">
        <f>(300000+399000)/2</f>
        <v>349500</v>
      </c>
    </row>
    <row r="39" spans="1:8">
      <c r="A39" s="5" t="s">
        <v>81</v>
      </c>
      <c r="B39" s="8">
        <v>0.11509999999999999</v>
      </c>
      <c r="C39" s="8">
        <v>0.11260000000000001</v>
      </c>
      <c r="D39" s="8">
        <v>0.1008</v>
      </c>
      <c r="E39" s="8">
        <v>2.9100000000000001E-2</v>
      </c>
      <c r="F39" s="8">
        <v>4.19E-2</v>
      </c>
      <c r="G39" s="8">
        <v>8.0100000000000005E-2</v>
      </c>
      <c r="H39" s="204">
        <f>(400000+499000)/2</f>
        <v>449500</v>
      </c>
    </row>
    <row r="40" spans="1:8">
      <c r="A40" s="5" t="s">
        <v>82</v>
      </c>
      <c r="B40" s="8">
        <v>5.28E-2</v>
      </c>
      <c r="C40" s="8">
        <v>4.8599999999999997E-2</v>
      </c>
      <c r="D40" s="8">
        <v>4.3400000000000001E-2</v>
      </c>
      <c r="E40" s="8">
        <v>1.83E-2</v>
      </c>
      <c r="F40" s="8">
        <v>1.3899999999999999E-2</v>
      </c>
      <c r="G40" s="8">
        <v>3.0499999999999999E-2</v>
      </c>
      <c r="H40" s="204">
        <f>(500000+749000)/2</f>
        <v>624500</v>
      </c>
    </row>
    <row r="41" spans="1:8">
      <c r="A41" s="3" t="s">
        <v>83</v>
      </c>
      <c r="B41" s="7">
        <v>5.7299999999999997E-2</v>
      </c>
      <c r="C41" s="7">
        <v>3.1E-2</v>
      </c>
      <c r="D41" s="7">
        <v>4.2599999999999999E-2</v>
      </c>
      <c r="E41" s="7">
        <v>1.0800000000000001E-2</v>
      </c>
      <c r="F41" s="7">
        <v>8.9999999999999993E-3</v>
      </c>
      <c r="G41" s="7">
        <v>1.5800000000000002E-2</v>
      </c>
      <c r="H41" s="204">
        <f>(750000+999000)/2</f>
        <v>874500</v>
      </c>
    </row>
    <row r="42" spans="1:8">
      <c r="A42" s="5" t="s">
        <v>84</v>
      </c>
      <c r="B42" s="8">
        <v>1.9900000000000001E-2</v>
      </c>
      <c r="C42" s="8">
        <v>8.0000000000000002E-3</v>
      </c>
      <c r="D42" s="8">
        <v>8.6999999999999994E-3</v>
      </c>
      <c r="E42" s="8">
        <v>2.5999999999999999E-3</v>
      </c>
      <c r="F42" s="8">
        <v>1.8E-3</v>
      </c>
      <c r="G42" s="8">
        <v>1.0800000000000001E-2</v>
      </c>
      <c r="H42" s="204">
        <f>(1000000+1499000)/2</f>
        <v>1249500</v>
      </c>
    </row>
    <row r="43" spans="1:8">
      <c r="A43" s="5" t="s">
        <v>85</v>
      </c>
      <c r="B43" s="8">
        <v>1.1299999999999999E-2</v>
      </c>
      <c r="C43" s="8">
        <v>5.5999999999999999E-3</v>
      </c>
      <c r="D43" s="8">
        <v>3.5999999999999999E-3</v>
      </c>
      <c r="E43" s="8">
        <v>6.0000000000000001E-3</v>
      </c>
      <c r="F43" s="8">
        <v>2.9999999999999997E-4</v>
      </c>
      <c r="G43" s="8">
        <v>0</v>
      </c>
      <c r="H43" s="204">
        <f>(1500000+1990000)/2</f>
        <v>1745000</v>
      </c>
    </row>
    <row r="44" spans="1:8">
      <c r="A44" s="3" t="s">
        <v>86</v>
      </c>
      <c r="B44" s="7">
        <v>6.0000000000000001E-3</v>
      </c>
      <c r="C44" s="7">
        <v>3.7000000000000002E-3</v>
      </c>
      <c r="D44" s="7">
        <v>3.8E-3</v>
      </c>
      <c r="E44" s="7">
        <v>3.2000000000000002E-3</v>
      </c>
      <c r="F44" s="7">
        <v>4.8999999999999998E-3</v>
      </c>
      <c r="G44" s="7">
        <v>4.0000000000000001E-3</v>
      </c>
      <c r="H44" s="204">
        <v>2000000</v>
      </c>
    </row>
    <row r="45" spans="1:8">
      <c r="A45" s="5" t="s">
        <v>87</v>
      </c>
      <c r="B45" s="203">
        <f>SUMPRODUCT(B32:B44, $H$32:$H$44)</f>
        <v>360376.14999999997</v>
      </c>
      <c r="C45" s="203">
        <f t="shared" ref="C45:G45" si="0">SUMPRODUCT(C32:C44, $H$32:$H$44)</f>
        <v>314308.30000000005</v>
      </c>
      <c r="D45" s="203">
        <f t="shared" si="0"/>
        <v>303256</v>
      </c>
      <c r="E45" s="203">
        <f t="shared" si="0"/>
        <v>191633.7</v>
      </c>
      <c r="F45" s="203">
        <f t="shared" si="0"/>
        <v>208903.4</v>
      </c>
      <c r="G45" s="203">
        <f t="shared" si="0"/>
        <v>249034.95</v>
      </c>
    </row>
    <row r="50" spans="2:2">
      <c r="B50">
        <f>B32*0.8+B33*0.7+B34*0.6+B35*0.5+B36*0.4+B37*0.3+B38*0.2+B39*0.1</f>
        <v>0.31344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986C-4648-44AD-8E09-6D8E484A7106}">
  <sheetPr>
    <tabColor rgb="FF000000"/>
  </sheetPr>
  <dimension ref="A1:E63"/>
  <sheetViews>
    <sheetView topLeftCell="A58" workbookViewId="0">
      <selection activeCell="B15" sqref="B15"/>
    </sheetView>
  </sheetViews>
  <sheetFormatPr defaultRowHeight="15"/>
  <cols>
    <col min="1" max="1" width="23.7109375" customWidth="1"/>
    <col min="2" max="2" width="13.7109375" customWidth="1"/>
    <col min="3" max="3" width="21.42578125" bestFit="1" customWidth="1"/>
    <col min="4" max="5" width="11.42578125" bestFit="1" customWidth="1"/>
  </cols>
  <sheetData>
    <row r="1" spans="1:5" ht="45">
      <c r="A1" s="9" t="s">
        <v>88</v>
      </c>
      <c r="B1" s="9" t="s">
        <v>89</v>
      </c>
      <c r="C1" s="9" t="s">
        <v>90</v>
      </c>
      <c r="D1" s="9" t="s">
        <v>91</v>
      </c>
      <c r="E1" s="9" t="s">
        <v>92</v>
      </c>
    </row>
    <row r="2" spans="1:5">
      <c r="A2" s="3">
        <v>1962</v>
      </c>
      <c r="B2" s="7">
        <v>2.1299999999999999E-2</v>
      </c>
      <c r="C2" s="7">
        <v>3.0700000000000002E-2</v>
      </c>
      <c r="D2" s="7">
        <v>3.5099999999999999E-2</v>
      </c>
      <c r="E2" s="7">
        <v>4.4600000000000001E-2</v>
      </c>
    </row>
    <row r="3" spans="1:5">
      <c r="A3" s="5">
        <v>1963</v>
      </c>
      <c r="B3" s="8">
        <v>2.01E-2</v>
      </c>
      <c r="C3" s="8">
        <v>3.5799999999999998E-2</v>
      </c>
      <c r="D3" s="8">
        <v>3.7999999999999999E-2</v>
      </c>
      <c r="E3" s="8">
        <v>4.5199999999999997E-2</v>
      </c>
    </row>
    <row r="4" spans="1:5">
      <c r="A4" s="5">
        <v>1964</v>
      </c>
      <c r="B4" s="8">
        <v>2.0500000000000001E-2</v>
      </c>
      <c r="C4" s="8">
        <v>3.9399999999999998E-2</v>
      </c>
      <c r="D4" s="8">
        <v>4.3499999999999997E-2</v>
      </c>
      <c r="E4" s="8">
        <v>4.7300000000000002E-2</v>
      </c>
    </row>
    <row r="5" spans="1:5">
      <c r="A5" s="3">
        <v>1965</v>
      </c>
      <c r="B5" s="7">
        <v>2.5399999999999999E-2</v>
      </c>
      <c r="C5" s="7">
        <v>4.58E-2</v>
      </c>
      <c r="D5" s="7">
        <v>4.6800000000000001E-2</v>
      </c>
      <c r="E5" s="7">
        <v>4.8399999999999999E-2</v>
      </c>
    </row>
    <row r="6" spans="1:5">
      <c r="A6" s="5">
        <v>1966</v>
      </c>
      <c r="B6" s="8">
        <v>3.3000000000000002E-2</v>
      </c>
      <c r="C6" s="8">
        <v>5.7000000000000002E-2</v>
      </c>
      <c r="D6" s="8">
        <v>5.8700000000000002E-2</v>
      </c>
      <c r="E6" s="8">
        <v>5.5599999999999997E-2</v>
      </c>
    </row>
    <row r="7" spans="1:5">
      <c r="A7" s="5">
        <v>1967</v>
      </c>
      <c r="B7" s="8">
        <v>2.7400000000000001E-2</v>
      </c>
      <c r="C7" s="8">
        <v>4.7399999999999998E-2</v>
      </c>
      <c r="D7" s="8">
        <v>5.5E-2</v>
      </c>
      <c r="E7" s="8">
        <v>5.7200000000000001E-2</v>
      </c>
    </row>
    <row r="8" spans="1:5">
      <c r="A8" s="3">
        <v>1968</v>
      </c>
      <c r="B8" s="7">
        <v>3.4799999999999998E-2</v>
      </c>
      <c r="C8" s="7">
        <v>6.3500000000000001E-2</v>
      </c>
      <c r="D8" s="7">
        <v>6.4100000000000004E-2</v>
      </c>
      <c r="E8" s="7">
        <v>6.3600000000000004E-2</v>
      </c>
    </row>
    <row r="9" spans="1:5">
      <c r="A9" s="5">
        <v>1969</v>
      </c>
      <c r="B9" s="8">
        <v>4.0599999999999997E-2</v>
      </c>
      <c r="C9" s="8">
        <v>9.0999999999999998E-2</v>
      </c>
      <c r="D9" s="8">
        <v>8.0199999999999994E-2</v>
      </c>
      <c r="E9" s="8">
        <v>7.51E-2</v>
      </c>
    </row>
    <row r="10" spans="1:5">
      <c r="A10" s="5">
        <v>1970</v>
      </c>
      <c r="B10" s="8">
        <v>5.04E-2</v>
      </c>
      <c r="C10" s="8">
        <v>8.0299999999999996E-2</v>
      </c>
      <c r="D10" s="8">
        <v>7.7700000000000005E-2</v>
      </c>
      <c r="E10" s="8">
        <v>8.2799999999999999E-2</v>
      </c>
    </row>
    <row r="11" spans="1:5">
      <c r="A11" s="3">
        <v>1971</v>
      </c>
      <c r="B11" s="7">
        <v>4.7199999999999999E-2</v>
      </c>
      <c r="C11" s="7">
        <v>5.2699999999999997E-2</v>
      </c>
      <c r="D11" s="7">
        <v>5.5199999999999999E-2</v>
      </c>
      <c r="E11" s="7">
        <v>6.9400000000000003E-2</v>
      </c>
    </row>
    <row r="12" spans="1:5">
      <c r="A12" s="5">
        <v>1972</v>
      </c>
      <c r="B12" s="8">
        <v>4.41E-2</v>
      </c>
      <c r="C12" s="8">
        <v>0.05</v>
      </c>
      <c r="D12" s="8">
        <v>5.5899999999999998E-2</v>
      </c>
      <c r="E12" s="8">
        <v>6.9900000000000004E-2</v>
      </c>
    </row>
    <row r="13" spans="1:5">
      <c r="A13" s="5">
        <v>1973</v>
      </c>
      <c r="B13" s="8">
        <v>6.7599999999999993E-2</v>
      </c>
      <c r="C13" s="8">
        <v>9.7900000000000001E-2</v>
      </c>
      <c r="D13" s="8">
        <v>8.2400000000000001E-2</v>
      </c>
      <c r="E13" s="8">
        <v>7.7100000000000002E-2</v>
      </c>
    </row>
    <row r="14" spans="1:5">
      <c r="A14" s="3">
        <v>1974</v>
      </c>
      <c r="B14" s="7">
        <v>0.1086</v>
      </c>
      <c r="C14" s="7">
        <v>0.11799999999999999</v>
      </c>
      <c r="D14" s="7">
        <v>9.2299999999999993E-2</v>
      </c>
      <c r="E14" s="7">
        <v>8.5099999999999995E-2</v>
      </c>
    </row>
    <row r="15" spans="1:5">
      <c r="A15" s="5">
        <v>1975</v>
      </c>
      <c r="B15" s="8">
        <v>8.8999999999999996E-2</v>
      </c>
      <c r="C15" s="8">
        <v>6.5600000000000006E-2</v>
      </c>
      <c r="D15" s="8">
        <v>7.6300000000000007E-2</v>
      </c>
      <c r="E15" s="8">
        <v>8.9899999999999994E-2</v>
      </c>
    </row>
    <row r="16" spans="1:5">
      <c r="A16" s="5">
        <v>1976</v>
      </c>
      <c r="B16" s="8">
        <v>6.4299999999999996E-2</v>
      </c>
      <c r="C16" s="8">
        <v>5.6899999999999999E-2</v>
      </c>
      <c r="D16" s="8">
        <v>6.6299999999999998E-2</v>
      </c>
      <c r="E16" s="8">
        <v>8.5699999999999998E-2</v>
      </c>
    </row>
    <row r="17" spans="1:5">
      <c r="A17" s="3">
        <v>1977</v>
      </c>
      <c r="B17" s="7">
        <v>6.8599999999999994E-2</v>
      </c>
      <c r="C17" s="7">
        <v>6.2399999999999997E-2</v>
      </c>
      <c r="D17" s="7">
        <v>6.8500000000000005E-2</v>
      </c>
      <c r="E17" s="7">
        <v>8.3500000000000005E-2</v>
      </c>
    </row>
    <row r="18" spans="1:5">
      <c r="A18" s="5">
        <v>1978</v>
      </c>
      <c r="B18" s="8">
        <v>6.7599999999999993E-2</v>
      </c>
      <c r="C18" s="8">
        <v>8.9300000000000004E-2</v>
      </c>
      <c r="D18" s="8">
        <v>9.3799999999999994E-2</v>
      </c>
      <c r="E18" s="8">
        <v>9.4600000000000004E-2</v>
      </c>
    </row>
    <row r="19" spans="1:5">
      <c r="A19" s="5">
        <v>1979</v>
      </c>
      <c r="B19" s="8">
        <v>9.11E-2</v>
      </c>
      <c r="C19" s="8">
        <v>0.12559999999999999</v>
      </c>
      <c r="D19" s="8">
        <v>0.1197</v>
      </c>
      <c r="E19" s="8">
        <v>0.106</v>
      </c>
    </row>
    <row r="20" spans="1:5">
      <c r="A20" s="3">
        <v>1980</v>
      </c>
      <c r="B20" s="7">
        <v>0.1188</v>
      </c>
      <c r="C20" s="7">
        <v>0.1489</v>
      </c>
      <c r="D20" s="7">
        <v>0.1348</v>
      </c>
      <c r="E20" s="7">
        <v>0.1285</v>
      </c>
    </row>
    <row r="21" spans="1:5">
      <c r="A21" s="5">
        <v>1981</v>
      </c>
      <c r="B21" s="8">
        <v>9.98E-2</v>
      </c>
      <c r="C21" s="8">
        <v>0.1842</v>
      </c>
      <c r="D21" s="8">
        <v>0.1661</v>
      </c>
      <c r="E21" s="8">
        <v>0.15629999999999999</v>
      </c>
    </row>
    <row r="22" spans="1:5">
      <c r="A22" s="5">
        <v>1982</v>
      </c>
      <c r="B22" s="8">
        <v>6.8900000000000003E-2</v>
      </c>
      <c r="C22" s="8">
        <v>0.13780000000000001</v>
      </c>
      <c r="D22" s="8">
        <v>0.13789999999999999</v>
      </c>
      <c r="E22" s="8">
        <v>0.14610000000000001</v>
      </c>
    </row>
    <row r="23" spans="1:5">
      <c r="A23" s="3">
        <v>1983</v>
      </c>
      <c r="B23" s="7">
        <v>4.6899999999999997E-2</v>
      </c>
      <c r="C23" s="7">
        <v>0.1023</v>
      </c>
      <c r="D23" s="7">
        <v>0.1077</v>
      </c>
      <c r="E23" s="7">
        <v>0.12479999999999999</v>
      </c>
    </row>
    <row r="24" spans="1:5">
      <c r="A24" s="5">
        <v>1984</v>
      </c>
      <c r="B24" s="8">
        <v>4.8500000000000001E-2</v>
      </c>
      <c r="C24" s="8">
        <v>0.1154</v>
      </c>
      <c r="D24" s="8">
        <v>0.1226</v>
      </c>
      <c r="E24" s="8">
        <v>0.1399</v>
      </c>
    </row>
    <row r="25" spans="1:5">
      <c r="A25" s="5">
        <v>1985</v>
      </c>
      <c r="B25" s="8">
        <v>3.7699999999999997E-2</v>
      </c>
      <c r="C25" s="8">
        <v>9.1399999999999995E-2</v>
      </c>
      <c r="D25" s="8">
        <v>9.4700000000000006E-2</v>
      </c>
      <c r="E25" s="8">
        <v>0.1193</v>
      </c>
    </row>
    <row r="26" spans="1:5">
      <c r="A26" s="3">
        <v>1986</v>
      </c>
      <c r="B26" s="7">
        <v>0.02</v>
      </c>
      <c r="C26" s="7">
        <v>7.6999999999999999E-2</v>
      </c>
      <c r="D26" s="7">
        <v>7.2700000000000001E-2</v>
      </c>
      <c r="E26" s="7">
        <v>8.6300000000000002E-2</v>
      </c>
    </row>
    <row r="27" spans="1:5">
      <c r="A27" s="5">
        <v>1987</v>
      </c>
      <c r="B27" s="8">
        <v>3.1300000000000001E-2</v>
      </c>
      <c r="C27" s="5" t="s">
        <v>0</v>
      </c>
      <c r="D27" s="8">
        <v>7.6200000000000004E-2</v>
      </c>
      <c r="E27" s="8">
        <v>9.4399999999999998E-2</v>
      </c>
    </row>
    <row r="28" spans="1:5">
      <c r="A28" s="5">
        <v>1988</v>
      </c>
      <c r="B28" s="8">
        <v>3.6799999999999999E-2</v>
      </c>
      <c r="C28" s="8">
        <v>8.5199999999999998E-2</v>
      </c>
      <c r="D28" s="8">
        <v>8.6099999999999996E-2</v>
      </c>
      <c r="E28" s="8">
        <v>9.9500000000000005E-2</v>
      </c>
    </row>
    <row r="29" spans="1:5">
      <c r="A29" s="3">
        <v>1989</v>
      </c>
      <c r="B29" s="7">
        <v>4.8300000000000003E-2</v>
      </c>
      <c r="C29" s="7">
        <v>0.1038</v>
      </c>
      <c r="D29" s="7">
        <v>9.6000000000000002E-2</v>
      </c>
      <c r="E29" s="7">
        <v>9.5500000000000002E-2</v>
      </c>
    </row>
    <row r="30" spans="1:5">
      <c r="A30" s="5">
        <v>1990</v>
      </c>
      <c r="B30" s="8">
        <v>5.0999999999999997E-2</v>
      </c>
      <c r="C30" s="8">
        <v>9.1300000000000006E-2</v>
      </c>
      <c r="D30" s="8">
        <v>8.8700000000000001E-2</v>
      </c>
      <c r="E30" s="8">
        <v>9.6199999999999994E-2</v>
      </c>
    </row>
    <row r="31" spans="1:5">
      <c r="A31" s="5">
        <v>1991</v>
      </c>
      <c r="B31" s="8">
        <v>4.53E-2</v>
      </c>
      <c r="C31" s="8">
        <v>6.4600000000000005E-2</v>
      </c>
      <c r="D31" s="8">
        <v>6.6000000000000003E-2</v>
      </c>
      <c r="E31" s="8">
        <v>8.8499999999999995E-2</v>
      </c>
    </row>
    <row r="32" spans="1:5">
      <c r="A32" s="3">
        <v>1992</v>
      </c>
      <c r="B32" s="7">
        <v>4.2599999999999999E-2</v>
      </c>
      <c r="C32" s="7">
        <v>4.0399999999999998E-2</v>
      </c>
      <c r="D32" s="7">
        <v>4.3999999999999997E-2</v>
      </c>
      <c r="E32" s="7">
        <v>7.8899999999999998E-2</v>
      </c>
    </row>
    <row r="33" spans="1:5">
      <c r="A33" s="5">
        <v>1993</v>
      </c>
      <c r="B33" s="8">
        <v>3.7400000000000003E-2</v>
      </c>
      <c r="C33" s="8">
        <v>3.4599999999999999E-2</v>
      </c>
      <c r="D33" s="8">
        <v>3.8899999999999997E-2</v>
      </c>
      <c r="E33" s="8">
        <v>6.6100000000000006E-2</v>
      </c>
    </row>
    <row r="34" spans="1:5">
      <c r="A34" s="5">
        <v>1994</v>
      </c>
      <c r="B34" s="8">
        <v>3.1899999999999998E-2</v>
      </c>
      <c r="C34" s="8">
        <v>4.7699999999999999E-2</v>
      </c>
      <c r="D34" s="8">
        <v>0.06</v>
      </c>
      <c r="E34" s="8">
        <v>7.9799999999999996E-2</v>
      </c>
    </row>
    <row r="35" spans="1:5">
      <c r="A35" s="3">
        <v>1995</v>
      </c>
      <c r="B35" s="7">
        <v>3.04E-2</v>
      </c>
      <c r="C35" s="7">
        <v>6.6000000000000003E-2</v>
      </c>
      <c r="D35" s="7">
        <v>6.7000000000000004E-2</v>
      </c>
      <c r="E35" s="7">
        <v>7.3999999999999996E-2</v>
      </c>
    </row>
    <row r="36" spans="1:5">
      <c r="A36" s="5">
        <v>1996</v>
      </c>
      <c r="B36" s="8">
        <v>2.8299999999999999E-2</v>
      </c>
      <c r="C36" s="8">
        <v>6.0100000000000001E-2</v>
      </c>
      <c r="D36" s="8">
        <v>6.2199999999999998E-2</v>
      </c>
      <c r="E36" s="8">
        <v>7.2599999999999998E-2</v>
      </c>
    </row>
    <row r="37" spans="1:5">
      <c r="A37" s="5">
        <v>1997</v>
      </c>
      <c r="B37" s="8">
        <v>2.47E-2</v>
      </c>
      <c r="C37" s="8">
        <v>6.1899999999999997E-2</v>
      </c>
      <c r="D37" s="8">
        <v>6.3500000000000001E-2</v>
      </c>
      <c r="E37" s="8">
        <v>7.1599999999999997E-2</v>
      </c>
    </row>
    <row r="38" spans="1:5">
      <c r="A38" s="3">
        <v>1998</v>
      </c>
      <c r="B38" s="7">
        <v>1.66E-2</v>
      </c>
      <c r="C38" s="7">
        <v>6.0499999999999998E-2</v>
      </c>
      <c r="D38" s="7">
        <v>5.7000000000000002E-2</v>
      </c>
      <c r="E38" s="7">
        <v>5.9299999999999999E-2</v>
      </c>
    </row>
    <row r="39" spans="1:5">
      <c r="A39" s="5">
        <v>1999</v>
      </c>
      <c r="B39" s="8">
        <v>1.89E-2</v>
      </c>
      <c r="C39" s="8">
        <v>5.6300000000000003E-2</v>
      </c>
      <c r="D39" s="8">
        <v>5.7299999999999997E-2</v>
      </c>
      <c r="E39" s="8">
        <v>6.3600000000000004E-2</v>
      </c>
    </row>
    <row r="40" spans="1:5">
      <c r="A40" s="5">
        <v>2000</v>
      </c>
      <c r="B40" s="8">
        <v>2.9600000000000001E-2</v>
      </c>
      <c r="C40" s="8">
        <v>7.0499999999999993E-2</v>
      </c>
      <c r="D40" s="8">
        <v>6.8900000000000003E-2</v>
      </c>
      <c r="E40" s="8">
        <v>6.7900000000000002E-2</v>
      </c>
    </row>
    <row r="41" spans="1:5">
      <c r="A41" s="3">
        <v>2001</v>
      </c>
      <c r="B41" s="7">
        <v>2.8199999999999999E-2</v>
      </c>
      <c r="C41" s="7">
        <v>4.3999999999999997E-2</v>
      </c>
      <c r="D41" s="7">
        <v>3.95E-2</v>
      </c>
      <c r="E41" s="7">
        <v>5.6599999999999998E-2</v>
      </c>
    </row>
    <row r="42" spans="1:5">
      <c r="A42" s="5">
        <v>2002</v>
      </c>
      <c r="B42" s="8">
        <v>1.78E-2</v>
      </c>
      <c r="C42" s="8">
        <v>1.9199999999999998E-2</v>
      </c>
      <c r="D42" s="8">
        <v>2.2800000000000001E-2</v>
      </c>
      <c r="E42" s="8">
        <v>5.21E-2</v>
      </c>
    </row>
    <row r="43" spans="1:5">
      <c r="A43" s="5">
        <v>2003</v>
      </c>
      <c r="B43" s="8">
        <f>AVERAGE(B44,B42)</f>
        <v>2.085E-2</v>
      </c>
      <c r="C43" s="8">
        <v>1.3100000000000001E-2</v>
      </c>
      <c r="D43" s="8">
        <v>1.43E-2</v>
      </c>
      <c r="E43" s="8">
        <v>4.5400000000000003E-2</v>
      </c>
    </row>
    <row r="44" spans="1:5">
      <c r="A44" s="3">
        <v>2004</v>
      </c>
      <c r="B44" s="7">
        <v>2.3900000000000001E-2</v>
      </c>
      <c r="C44" s="7">
        <v>1.5599999999999999E-2</v>
      </c>
      <c r="D44" s="7">
        <v>2.1499999999999998E-2</v>
      </c>
      <c r="E44" s="7">
        <v>4.82E-2</v>
      </c>
    </row>
    <row r="45" spans="1:5">
      <c r="A45" s="5">
        <v>2005</v>
      </c>
      <c r="B45" s="8">
        <v>2.81E-2</v>
      </c>
      <c r="C45" s="8">
        <v>3.6400000000000002E-2</v>
      </c>
      <c r="D45" s="8">
        <v>4.1000000000000002E-2</v>
      </c>
      <c r="E45" s="8">
        <v>4.8399999999999999E-2</v>
      </c>
    </row>
    <row r="46" spans="1:5">
      <c r="A46" s="5">
        <v>2006</v>
      </c>
      <c r="B46" s="8">
        <v>2.7799999999999998E-2</v>
      </c>
      <c r="C46" s="8">
        <v>5.6000000000000001E-2</v>
      </c>
      <c r="D46" s="8">
        <v>5.57E-2</v>
      </c>
      <c r="E46" s="8">
        <v>5.4100000000000002E-2</v>
      </c>
    </row>
    <row r="47" spans="1:5">
      <c r="A47" s="3">
        <v>2007</v>
      </c>
      <c r="B47" s="7">
        <v>2.6599999999999999E-2</v>
      </c>
      <c r="C47" s="7">
        <v>5.67E-2</v>
      </c>
      <c r="D47" s="7">
        <v>5.11E-2</v>
      </c>
      <c r="E47" s="7">
        <v>5.2299999999999999E-2</v>
      </c>
    </row>
    <row r="48" spans="1:5">
      <c r="A48" s="5">
        <v>2008</v>
      </c>
      <c r="B48" s="8">
        <v>3.6999999999999998E-2</v>
      </c>
      <c r="C48" s="8">
        <v>2.2100000000000002E-2</v>
      </c>
      <c r="D48" s="8">
        <v>2.0899999999999998E-2</v>
      </c>
      <c r="E48" s="8">
        <v>4.1399999999999999E-2</v>
      </c>
    </row>
    <row r="49" spans="1:5">
      <c r="A49" s="5">
        <v>2009</v>
      </c>
      <c r="B49" s="8">
        <v>8.0000000000000004E-4</v>
      </c>
      <c r="C49" s="8">
        <v>2.2000000000000001E-3</v>
      </c>
      <c r="D49" s="8">
        <v>5.7000000000000002E-3</v>
      </c>
      <c r="E49" s="8">
        <v>3.6999999999999998E-2</v>
      </c>
    </row>
    <row r="50" spans="1:5">
      <c r="A50" s="3">
        <v>2010</v>
      </c>
      <c r="B50" s="7">
        <v>1.5100000000000001E-2</v>
      </c>
      <c r="C50" s="7">
        <v>2.3999999999999998E-3</v>
      </c>
      <c r="D50" s="7">
        <v>4.0000000000000001E-3</v>
      </c>
      <c r="E50" s="7">
        <v>3.6400000000000002E-2</v>
      </c>
    </row>
    <row r="51" spans="1:5">
      <c r="A51" s="5">
        <v>2011</v>
      </c>
      <c r="B51" s="8">
        <v>0.03</v>
      </c>
      <c r="C51" s="8">
        <v>1.5E-3</v>
      </c>
      <c r="D51" s="8">
        <v>2.3999999999999998E-3</v>
      </c>
      <c r="E51" s="8">
        <v>3.1600000000000003E-2</v>
      </c>
    </row>
    <row r="52" spans="1:5">
      <c r="A52" s="5">
        <v>2012</v>
      </c>
      <c r="B52" s="8">
        <v>2.2200000000000001E-2</v>
      </c>
      <c r="C52" s="8">
        <v>2E-3</v>
      </c>
      <c r="D52" s="8">
        <v>2.3999999999999998E-3</v>
      </c>
      <c r="E52" s="8">
        <v>2.06E-2</v>
      </c>
    </row>
    <row r="53" spans="1:5">
      <c r="A53" s="3">
        <v>2013</v>
      </c>
      <c r="B53" s="7">
        <v>1.4E-2</v>
      </c>
      <c r="C53" s="7">
        <v>1.6000000000000001E-3</v>
      </c>
      <c r="D53" s="7">
        <v>1.9E-3</v>
      </c>
      <c r="E53" s="7">
        <v>2.6700000000000002E-2</v>
      </c>
    </row>
    <row r="54" spans="1:5">
      <c r="A54" s="5">
        <v>2014</v>
      </c>
      <c r="B54" s="8">
        <v>1.11E-2</v>
      </c>
      <c r="C54" s="8">
        <v>1.4E-3</v>
      </c>
      <c r="D54" s="8">
        <v>1.8E-3</v>
      </c>
      <c r="E54" s="8">
        <v>2.8799999999999999E-2</v>
      </c>
    </row>
    <row r="55" spans="1:5">
      <c r="A55" s="5">
        <v>2015</v>
      </c>
      <c r="B55" s="8">
        <v>1.4E-3</v>
      </c>
      <c r="C55" s="8">
        <v>1.9E-3</v>
      </c>
      <c r="D55" s="8">
        <v>4.0000000000000001E-3</v>
      </c>
      <c r="E55" s="8">
        <v>2.4299999999999999E-2</v>
      </c>
    </row>
    <row r="56" spans="1:5">
      <c r="A56" s="3">
        <v>2016</v>
      </c>
      <c r="B56" s="7">
        <v>8.3000000000000001E-3</v>
      </c>
      <c r="C56" s="7">
        <v>4.7999999999999996E-3</v>
      </c>
      <c r="D56" s="7">
        <v>7.1999999999999998E-3</v>
      </c>
      <c r="E56" s="7">
        <v>2.1000000000000001E-2</v>
      </c>
    </row>
    <row r="57" spans="1:5">
      <c r="A57" s="5">
        <v>2017</v>
      </c>
      <c r="B57" s="8">
        <v>1.83E-2</v>
      </c>
      <c r="C57" s="8">
        <v>1.1599999999999999E-2</v>
      </c>
      <c r="D57" s="8">
        <v>1.37E-2</v>
      </c>
      <c r="E57" s="8">
        <v>2.6499999999999999E-2</v>
      </c>
    </row>
    <row r="58" spans="1:5">
      <c r="A58" s="5">
        <v>2018</v>
      </c>
      <c r="B58" s="8">
        <v>2.12E-2</v>
      </c>
      <c r="C58" s="8">
        <v>2.0799999999999999E-2</v>
      </c>
      <c r="D58" s="5" t="e">
        <v>#N/A</v>
      </c>
      <c r="E58" s="8">
        <v>3.3000000000000002E-2</v>
      </c>
    </row>
    <row r="59" spans="1:5">
      <c r="A59" s="3">
        <v>2019</v>
      </c>
      <c r="B59" s="7">
        <v>1.7000000000000001E-2</v>
      </c>
      <c r="C59" s="7">
        <v>2.46E-2</v>
      </c>
      <c r="D59" s="7">
        <v>2.3400000000000001E-2</v>
      </c>
      <c r="E59" s="7">
        <v>2.4400000000000002E-2</v>
      </c>
    </row>
    <row r="60" spans="1:5">
      <c r="A60" s="5">
        <v>2020</v>
      </c>
      <c r="B60" s="8">
        <v>8.9999999999999993E-3</v>
      </c>
      <c r="C60" s="8">
        <v>4.4999999999999997E-3</v>
      </c>
      <c r="D60" s="8">
        <v>4.4999999999999997E-3</v>
      </c>
      <c r="E60" s="8">
        <v>1.04E-2</v>
      </c>
    </row>
    <row r="61" spans="1:5">
      <c r="A61" s="5">
        <v>2021</v>
      </c>
      <c r="B61" s="8">
        <v>3.8399999999999997E-2</v>
      </c>
      <c r="C61" s="8">
        <v>1.2999999999999999E-3</v>
      </c>
      <c r="D61" s="8">
        <v>1.6000000000000001E-3</v>
      </c>
      <c r="E61" s="8">
        <v>1.66E-2</v>
      </c>
    </row>
    <row r="63" spans="1:5">
      <c r="A63" s="11" t="s">
        <v>93</v>
      </c>
      <c r="B63" s="68">
        <f>AVERAGE(Table15[Inflation])</f>
        <v>3.7539166666666658E-2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B0CD-D947-41F6-B7CD-15FB9E1C6443}">
  <sheetPr>
    <tabColor rgb="FF000000"/>
  </sheetPr>
  <dimension ref="A1:V117"/>
  <sheetViews>
    <sheetView topLeftCell="C107" workbookViewId="0">
      <selection activeCell="C107" sqref="C107"/>
    </sheetView>
  </sheetViews>
  <sheetFormatPr defaultRowHeight="15"/>
  <sheetData>
    <row r="1" spans="1:22">
      <c r="A1" s="69"/>
      <c r="B1" s="235"/>
      <c r="C1" s="235"/>
      <c r="D1" s="70"/>
      <c r="E1" s="70"/>
      <c r="F1" s="70"/>
      <c r="G1" s="70"/>
      <c r="H1" s="235"/>
      <c r="I1" s="235"/>
      <c r="J1" s="70"/>
      <c r="K1" s="70"/>
      <c r="L1" s="70"/>
      <c r="M1" s="235"/>
      <c r="N1" s="235"/>
      <c r="O1" s="70"/>
      <c r="P1" s="70"/>
      <c r="Q1" s="70"/>
      <c r="R1" s="235"/>
      <c r="S1" s="235"/>
      <c r="T1" s="70"/>
      <c r="U1" s="70"/>
      <c r="V1" s="70"/>
    </row>
    <row r="2" spans="1:22" ht="18.75">
      <c r="A2" s="69"/>
      <c r="B2" s="71" t="s">
        <v>94</v>
      </c>
      <c r="C2" s="72"/>
      <c r="D2" s="72"/>
      <c r="E2" s="72"/>
      <c r="F2" s="72"/>
      <c r="G2" s="72"/>
      <c r="H2" s="72"/>
      <c r="I2" s="72"/>
      <c r="J2" s="72"/>
      <c r="K2" s="72"/>
      <c r="L2" s="72"/>
      <c r="M2" s="72"/>
      <c r="N2" s="72"/>
      <c r="O2" s="72"/>
      <c r="P2" s="72"/>
      <c r="Q2" s="72"/>
      <c r="R2" s="72"/>
      <c r="S2" s="72"/>
      <c r="T2" s="72"/>
      <c r="U2" s="72"/>
      <c r="V2" s="72"/>
    </row>
    <row r="3" spans="1:22">
      <c r="A3" s="69"/>
      <c r="B3" s="236" t="s">
        <v>95</v>
      </c>
      <c r="C3" s="236"/>
      <c r="D3" s="236"/>
      <c r="E3" s="236"/>
      <c r="F3" s="236"/>
      <c r="G3" s="236"/>
      <c r="H3" s="236"/>
      <c r="I3" s="236"/>
      <c r="J3" s="236"/>
      <c r="K3" s="236"/>
      <c r="L3" s="236"/>
      <c r="M3" s="236"/>
      <c r="N3" s="236"/>
      <c r="O3" s="236"/>
      <c r="P3" s="236"/>
      <c r="Q3" s="236"/>
      <c r="R3" s="236"/>
      <c r="S3" s="236"/>
      <c r="T3" s="236"/>
      <c r="U3" s="236"/>
      <c r="V3" s="236"/>
    </row>
    <row r="4" spans="1:22">
      <c r="A4" s="69"/>
      <c r="B4" s="236"/>
      <c r="C4" s="236"/>
      <c r="D4" s="236"/>
      <c r="E4" s="236"/>
      <c r="F4" s="236"/>
      <c r="G4" s="236"/>
      <c r="H4" s="236"/>
      <c r="I4" s="236"/>
      <c r="J4" s="236"/>
      <c r="K4" s="236"/>
      <c r="L4" s="236"/>
      <c r="M4" s="236"/>
      <c r="N4" s="236"/>
      <c r="O4" s="236"/>
      <c r="P4" s="236"/>
      <c r="Q4" s="236"/>
      <c r="R4" s="236"/>
      <c r="S4" s="236"/>
      <c r="T4" s="236"/>
      <c r="U4" s="236"/>
      <c r="V4" s="236"/>
    </row>
    <row r="5" spans="1:22">
      <c r="A5" s="69"/>
      <c r="B5" s="236"/>
      <c r="C5" s="236"/>
      <c r="D5" s="236"/>
      <c r="E5" s="236"/>
      <c r="F5" s="236"/>
      <c r="G5" s="236"/>
      <c r="H5" s="236"/>
      <c r="I5" s="236"/>
      <c r="J5" s="236"/>
      <c r="K5" s="236"/>
      <c r="L5" s="236"/>
      <c r="M5" s="236"/>
      <c r="N5" s="236"/>
      <c r="O5" s="236"/>
      <c r="P5" s="236"/>
      <c r="Q5" s="236"/>
      <c r="R5" s="236"/>
      <c r="S5" s="236"/>
      <c r="T5" s="236"/>
      <c r="U5" s="236"/>
      <c r="V5" s="236"/>
    </row>
    <row r="6" spans="1:22">
      <c r="A6" s="73"/>
      <c r="B6" s="234" t="s">
        <v>96</v>
      </c>
      <c r="C6" s="234"/>
      <c r="D6" s="234"/>
      <c r="E6" s="234"/>
      <c r="F6" s="234"/>
      <c r="G6" s="234"/>
      <c r="H6" s="74"/>
      <c r="I6" s="74"/>
      <c r="J6" s="74"/>
      <c r="K6" s="74"/>
      <c r="L6" s="74"/>
      <c r="M6" s="74"/>
      <c r="N6" s="74"/>
      <c r="O6" s="74"/>
      <c r="P6" s="74"/>
      <c r="Q6" s="74"/>
      <c r="R6" s="74"/>
      <c r="S6" s="74"/>
      <c r="T6" s="74"/>
      <c r="U6" s="74"/>
      <c r="V6" s="74"/>
    </row>
    <row r="7" spans="1:22">
      <c r="A7" s="69"/>
      <c r="B7" s="70"/>
      <c r="C7" s="70"/>
      <c r="D7" s="72"/>
      <c r="E7" s="72"/>
      <c r="F7" s="72"/>
      <c r="G7" s="72"/>
      <c r="H7" s="72"/>
      <c r="I7" s="70"/>
      <c r="J7" s="70"/>
      <c r="K7" s="70"/>
      <c r="L7" s="70"/>
      <c r="M7" s="235"/>
      <c r="N7" s="235"/>
      <c r="O7" s="70"/>
      <c r="P7" s="70"/>
      <c r="Q7" s="70"/>
      <c r="R7" s="235"/>
      <c r="S7" s="235"/>
      <c r="T7" s="70"/>
      <c r="U7" s="70"/>
      <c r="V7" s="70"/>
    </row>
    <row r="8" spans="1:22">
      <c r="A8" s="69"/>
      <c r="B8" s="75" t="s">
        <v>97</v>
      </c>
      <c r="C8" s="72"/>
      <c r="D8" s="72"/>
      <c r="E8" s="72"/>
      <c r="F8" s="72"/>
      <c r="G8" s="76"/>
      <c r="H8" s="76"/>
      <c r="I8" s="70"/>
      <c r="J8" s="70"/>
      <c r="K8" s="70"/>
      <c r="L8" s="70"/>
      <c r="M8" s="70"/>
      <c r="N8" s="70"/>
      <c r="O8" s="70"/>
      <c r="P8" s="70"/>
      <c r="Q8" s="70"/>
      <c r="R8" s="70"/>
      <c r="S8" s="70"/>
      <c r="T8" s="70"/>
      <c r="U8" s="70"/>
      <c r="V8" s="70"/>
    </row>
    <row r="9" spans="1:22">
      <c r="A9" s="16"/>
      <c r="B9" s="17" t="s">
        <v>98</v>
      </c>
      <c r="C9" s="77"/>
      <c r="D9" s="17" t="s">
        <v>99</v>
      </c>
      <c r="E9" s="77"/>
      <c r="F9" s="77"/>
      <c r="G9" s="16"/>
      <c r="H9" s="16"/>
      <c r="I9" s="16"/>
      <c r="J9" s="16"/>
      <c r="K9" s="16"/>
      <c r="L9" s="16"/>
      <c r="M9" s="237"/>
      <c r="N9" s="237"/>
      <c r="O9" s="16"/>
      <c r="P9" s="16"/>
      <c r="Q9" s="16"/>
      <c r="R9" s="237"/>
      <c r="S9" s="237"/>
      <c r="T9" s="16"/>
      <c r="U9" s="16"/>
      <c r="V9" s="16"/>
    </row>
    <row r="10" spans="1:22">
      <c r="A10" s="16"/>
      <c r="B10" s="17" t="s">
        <v>100</v>
      </c>
      <c r="C10" s="77"/>
      <c r="D10" s="17" t="s">
        <v>101</v>
      </c>
      <c r="E10" s="77"/>
      <c r="F10" s="77"/>
      <c r="G10" s="16"/>
      <c r="H10" s="16"/>
      <c r="I10" s="16"/>
      <c r="J10" s="16"/>
      <c r="K10" s="16"/>
      <c r="L10" s="16"/>
      <c r="M10" s="237"/>
      <c r="N10" s="237"/>
      <c r="O10" s="16"/>
      <c r="P10" s="16"/>
      <c r="Q10" s="16"/>
      <c r="R10" s="237"/>
      <c r="S10" s="237"/>
      <c r="T10" s="16"/>
      <c r="U10" s="16"/>
      <c r="V10" s="16"/>
    </row>
    <row r="11" spans="1:22">
      <c r="A11" s="16"/>
      <c r="B11" s="17" t="s">
        <v>102</v>
      </c>
      <c r="C11" s="77"/>
      <c r="D11" s="17" t="s">
        <v>103</v>
      </c>
      <c r="E11" s="77"/>
      <c r="F11" s="77"/>
      <c r="G11" s="16"/>
      <c r="H11" s="16"/>
      <c r="I11" s="16"/>
      <c r="J11" s="16"/>
      <c r="K11" s="16"/>
      <c r="L11" s="16"/>
      <c r="M11" s="237"/>
      <c r="N11" s="237"/>
      <c r="O11" s="16"/>
      <c r="P11" s="16"/>
      <c r="Q11" s="16"/>
      <c r="R11" s="237"/>
      <c r="S11" s="237"/>
      <c r="T11" s="16"/>
      <c r="U11" s="16"/>
      <c r="V11" s="16"/>
    </row>
    <row r="12" spans="1:22">
      <c r="A12" s="16"/>
      <c r="B12" s="17" t="s">
        <v>104</v>
      </c>
      <c r="C12" s="77"/>
      <c r="D12" s="17" t="s">
        <v>105</v>
      </c>
      <c r="E12" s="77"/>
      <c r="F12" s="77"/>
      <c r="G12" s="16"/>
      <c r="H12" s="16"/>
      <c r="I12" s="16"/>
      <c r="J12" s="16"/>
      <c r="K12" s="16"/>
      <c r="L12" s="16"/>
      <c r="M12" s="237"/>
      <c r="N12" s="237"/>
      <c r="O12" s="16"/>
      <c r="P12" s="16"/>
      <c r="Q12" s="16"/>
      <c r="R12" s="237"/>
      <c r="S12" s="237"/>
      <c r="T12" s="16"/>
      <c r="U12" s="16"/>
      <c r="V12" s="16"/>
    </row>
    <row r="13" spans="1:22">
      <c r="A13" s="69"/>
      <c r="B13" s="70"/>
      <c r="C13" s="70"/>
      <c r="D13" s="70"/>
      <c r="E13" s="70"/>
      <c r="F13" s="70"/>
      <c r="G13" s="70"/>
      <c r="H13" s="70"/>
      <c r="I13" s="70"/>
      <c r="J13" s="70"/>
      <c r="K13" s="70"/>
      <c r="L13" s="70"/>
      <c r="M13" s="235"/>
      <c r="N13" s="235"/>
      <c r="O13" s="70"/>
      <c r="P13" s="70"/>
      <c r="Q13" s="70"/>
      <c r="R13" s="235"/>
      <c r="S13" s="235"/>
      <c r="T13" s="70"/>
      <c r="U13" s="70"/>
      <c r="V13" s="70"/>
    </row>
    <row r="14" spans="1:22">
      <c r="A14" s="69"/>
      <c r="B14" s="18"/>
      <c r="C14" s="18"/>
      <c r="D14" s="239" t="s">
        <v>106</v>
      </c>
      <c r="E14" s="239"/>
      <c r="F14" s="239"/>
      <c r="G14" s="239"/>
      <c r="H14" s="18"/>
      <c r="I14" s="239" t="s">
        <v>107</v>
      </c>
      <c r="J14" s="239"/>
      <c r="K14" s="239"/>
      <c r="L14" s="239"/>
      <c r="M14" s="18"/>
      <c r="N14" s="239" t="s">
        <v>108</v>
      </c>
      <c r="O14" s="239"/>
      <c r="P14" s="239"/>
      <c r="Q14" s="239"/>
      <c r="R14" s="18"/>
      <c r="S14" s="239" t="s">
        <v>109</v>
      </c>
      <c r="T14" s="239"/>
      <c r="U14" s="239"/>
      <c r="V14" s="239"/>
    </row>
    <row r="15" spans="1:22" ht="30">
      <c r="A15" s="69"/>
      <c r="B15" s="78"/>
      <c r="C15" s="78"/>
      <c r="D15" s="79" t="s">
        <v>110</v>
      </c>
      <c r="E15" s="79" t="s">
        <v>111</v>
      </c>
      <c r="F15" s="79" t="s">
        <v>112</v>
      </c>
      <c r="G15" s="79" t="s">
        <v>113</v>
      </c>
      <c r="H15" s="80"/>
      <c r="I15" s="79" t="s">
        <v>110</v>
      </c>
      <c r="J15" s="79" t="s">
        <v>111</v>
      </c>
      <c r="K15" s="79" t="s">
        <v>112</v>
      </c>
      <c r="L15" s="79" t="s">
        <v>113</v>
      </c>
      <c r="M15" s="80"/>
      <c r="N15" s="79" t="s">
        <v>110</v>
      </c>
      <c r="O15" s="79" t="s">
        <v>111</v>
      </c>
      <c r="P15" s="79" t="s">
        <v>112</v>
      </c>
      <c r="Q15" s="79" t="s">
        <v>113</v>
      </c>
      <c r="R15" s="80"/>
      <c r="S15" s="79" t="s">
        <v>110</v>
      </c>
      <c r="T15" s="79" t="s">
        <v>111</v>
      </c>
      <c r="U15" s="79" t="s">
        <v>112</v>
      </c>
      <c r="V15" s="79" t="s">
        <v>113</v>
      </c>
    </row>
    <row r="16" spans="1:22">
      <c r="A16" s="69"/>
      <c r="B16" s="70"/>
      <c r="C16" s="70"/>
      <c r="D16" s="81"/>
      <c r="E16" s="81"/>
      <c r="F16" s="81"/>
      <c r="G16" s="81"/>
      <c r="H16" s="70"/>
      <c r="I16" s="70"/>
      <c r="J16" s="81"/>
      <c r="K16" s="81"/>
      <c r="L16" s="81"/>
      <c r="M16" s="70"/>
      <c r="N16" s="70"/>
      <c r="O16" s="81"/>
      <c r="P16" s="81"/>
      <c r="Q16" s="81"/>
      <c r="R16" s="70"/>
      <c r="S16" s="70"/>
      <c r="T16" s="81"/>
      <c r="U16" s="81"/>
      <c r="V16" s="81"/>
    </row>
    <row r="17" spans="1:22">
      <c r="A17" s="69"/>
      <c r="B17" s="82">
        <v>2005</v>
      </c>
      <c r="C17" s="82"/>
      <c r="D17" s="83">
        <v>379.85</v>
      </c>
      <c r="E17" s="83">
        <v>379.85</v>
      </c>
      <c r="F17" s="83">
        <v>379.85</v>
      </c>
      <c r="G17" s="83">
        <v>379.85</v>
      </c>
      <c r="H17" s="83"/>
      <c r="I17" s="83">
        <v>6.53</v>
      </c>
      <c r="J17" s="83">
        <v>6.5</v>
      </c>
      <c r="K17" s="83">
        <v>6.49</v>
      </c>
      <c r="L17" s="83">
        <v>6.51</v>
      </c>
      <c r="M17" s="83"/>
      <c r="N17" s="83">
        <v>57.41</v>
      </c>
      <c r="O17" s="83">
        <v>56.53</v>
      </c>
      <c r="P17" s="83">
        <v>54.73</v>
      </c>
      <c r="Q17" s="83">
        <v>56.69</v>
      </c>
      <c r="R17" s="83"/>
      <c r="S17" s="84">
        <v>8791</v>
      </c>
      <c r="T17" s="84">
        <v>8697</v>
      </c>
      <c r="U17" s="84">
        <v>8433</v>
      </c>
      <c r="V17" s="84">
        <v>8708</v>
      </c>
    </row>
    <row r="18" spans="1:22">
      <c r="A18" s="69"/>
      <c r="B18" s="82">
        <v>2010</v>
      </c>
      <c r="C18" s="82"/>
      <c r="D18" s="83">
        <v>390.51</v>
      </c>
      <c r="E18" s="83">
        <v>390.51</v>
      </c>
      <c r="F18" s="83">
        <v>390.51</v>
      </c>
      <c r="G18" s="83">
        <v>390.51</v>
      </c>
      <c r="H18" s="83"/>
      <c r="I18" s="83">
        <v>6.92</v>
      </c>
      <c r="J18" s="83">
        <v>6.87</v>
      </c>
      <c r="K18" s="83">
        <v>6.88</v>
      </c>
      <c r="L18" s="83">
        <v>6.89</v>
      </c>
      <c r="M18" s="83"/>
      <c r="N18" s="83">
        <v>68.459999999999994</v>
      </c>
      <c r="O18" s="83">
        <v>67.52</v>
      </c>
      <c r="P18" s="83">
        <v>64.81</v>
      </c>
      <c r="Q18" s="83">
        <v>67.569999999999993</v>
      </c>
      <c r="R18" s="83"/>
      <c r="S18" s="84">
        <v>9893</v>
      </c>
      <c r="T18" s="84">
        <v>9828</v>
      </c>
      <c r="U18" s="84">
        <v>9420</v>
      </c>
      <c r="V18" s="84">
        <v>9806</v>
      </c>
    </row>
    <row r="19" spans="1:22">
      <c r="A19" s="69"/>
      <c r="B19" s="85">
        <v>2020</v>
      </c>
      <c r="C19" s="85"/>
      <c r="D19" s="86">
        <v>414.55</v>
      </c>
      <c r="E19" s="86">
        <v>414.44</v>
      </c>
      <c r="F19" s="86">
        <v>417.07</v>
      </c>
      <c r="G19" s="86">
        <v>417.25</v>
      </c>
      <c r="H19" s="86"/>
      <c r="I19" s="86">
        <v>7.58</v>
      </c>
      <c r="J19" s="86">
        <v>7.61</v>
      </c>
      <c r="K19" s="86">
        <v>7.7</v>
      </c>
      <c r="L19" s="86">
        <v>7.55</v>
      </c>
      <c r="M19" s="86"/>
      <c r="N19" s="86">
        <v>101.82</v>
      </c>
      <c r="O19" s="86">
        <v>101.16</v>
      </c>
      <c r="P19" s="86">
        <v>97.4</v>
      </c>
      <c r="Q19" s="86">
        <v>101.9</v>
      </c>
      <c r="R19" s="86"/>
      <c r="S19" s="87">
        <v>13432</v>
      </c>
      <c r="T19" s="87">
        <v>13293</v>
      </c>
      <c r="U19" s="87">
        <v>12649</v>
      </c>
      <c r="V19" s="87">
        <v>13496</v>
      </c>
    </row>
    <row r="20" spans="1:22">
      <c r="A20" s="69"/>
      <c r="B20" s="82">
        <v>2030</v>
      </c>
      <c r="C20" s="82"/>
      <c r="D20" s="83">
        <v>436.54</v>
      </c>
      <c r="E20" s="83">
        <v>439.28</v>
      </c>
      <c r="F20" s="83">
        <v>448.55</v>
      </c>
      <c r="G20" s="83">
        <v>452.77</v>
      </c>
      <c r="H20" s="83"/>
      <c r="I20" s="83">
        <v>8.06</v>
      </c>
      <c r="J20" s="83">
        <v>8.26</v>
      </c>
      <c r="K20" s="83">
        <v>8.51</v>
      </c>
      <c r="L20" s="83">
        <v>8.0500000000000007</v>
      </c>
      <c r="M20" s="83"/>
      <c r="N20" s="83">
        <v>155.85</v>
      </c>
      <c r="O20" s="83">
        <v>142.88999999999999</v>
      </c>
      <c r="P20" s="83">
        <v>130.22999999999999</v>
      </c>
      <c r="Q20" s="83">
        <v>165.8</v>
      </c>
      <c r="R20" s="83"/>
      <c r="S20" s="84">
        <v>19336</v>
      </c>
      <c r="T20" s="84">
        <v>17299</v>
      </c>
      <c r="U20" s="84">
        <v>15303</v>
      </c>
      <c r="V20" s="84">
        <v>20596</v>
      </c>
    </row>
    <row r="21" spans="1:22">
      <c r="A21" s="69"/>
      <c r="B21" s="82">
        <v>2040</v>
      </c>
      <c r="C21" s="82"/>
      <c r="D21" s="83">
        <v>452.29</v>
      </c>
      <c r="E21" s="83">
        <v>463.05</v>
      </c>
      <c r="F21" s="83">
        <v>480.63</v>
      </c>
      <c r="G21" s="83">
        <v>499.68</v>
      </c>
      <c r="H21" s="83"/>
      <c r="I21" s="83">
        <v>8.39</v>
      </c>
      <c r="J21" s="83">
        <v>8.7899999999999991</v>
      </c>
      <c r="K21" s="83">
        <v>9.26</v>
      </c>
      <c r="L21" s="83">
        <v>8.4</v>
      </c>
      <c r="M21" s="83"/>
      <c r="N21" s="83">
        <v>223.2</v>
      </c>
      <c r="O21" s="83">
        <v>185.39</v>
      </c>
      <c r="P21" s="83">
        <v>153.37</v>
      </c>
      <c r="Q21" s="83">
        <v>260.2</v>
      </c>
      <c r="R21" s="83"/>
      <c r="S21" s="84">
        <v>26603</v>
      </c>
      <c r="T21" s="84">
        <v>21091</v>
      </c>
      <c r="U21" s="84">
        <v>16562</v>
      </c>
      <c r="V21" s="84">
        <v>30976</v>
      </c>
    </row>
    <row r="22" spans="1:22">
      <c r="A22" s="69"/>
      <c r="B22" s="85">
        <v>2050</v>
      </c>
      <c r="C22" s="85"/>
      <c r="D22" s="86">
        <v>460.69</v>
      </c>
      <c r="E22" s="86">
        <v>483.24</v>
      </c>
      <c r="F22" s="86">
        <v>511.43</v>
      </c>
      <c r="G22" s="86">
        <v>559.69000000000005</v>
      </c>
      <c r="H22" s="86"/>
      <c r="I22" s="86">
        <v>8.5299999999999994</v>
      </c>
      <c r="J22" s="86">
        <v>9.17</v>
      </c>
      <c r="K22" s="86">
        <v>9.9600000000000009</v>
      </c>
      <c r="L22" s="86">
        <v>8.58</v>
      </c>
      <c r="M22" s="86"/>
      <c r="N22" s="86">
        <v>291.3</v>
      </c>
      <c r="O22" s="86">
        <v>230.19</v>
      </c>
      <c r="P22" s="86">
        <v>171.5</v>
      </c>
      <c r="Q22" s="86">
        <v>364.7</v>
      </c>
      <c r="R22" s="86"/>
      <c r="S22" s="87">
        <v>34150</v>
      </c>
      <c r="T22" s="87">
        <v>25102</v>
      </c>
      <c r="U22" s="87">
        <v>17218</v>
      </c>
      <c r="V22" s="87">
        <v>42505</v>
      </c>
    </row>
    <row r="23" spans="1:22">
      <c r="A23" s="69"/>
      <c r="B23" s="82">
        <v>2060</v>
      </c>
      <c r="C23" s="82"/>
      <c r="D23" s="83">
        <v>462.9</v>
      </c>
      <c r="E23" s="83">
        <v>497.49</v>
      </c>
      <c r="F23" s="83">
        <v>542.95000000000005</v>
      </c>
      <c r="G23" s="83">
        <v>635.79</v>
      </c>
      <c r="H23" s="83"/>
      <c r="I23" s="83">
        <v>8.49</v>
      </c>
      <c r="J23" s="83">
        <v>9.3800000000000008</v>
      </c>
      <c r="K23" s="83">
        <v>10.57</v>
      </c>
      <c r="L23" s="83">
        <v>8.59</v>
      </c>
      <c r="M23" s="83"/>
      <c r="N23" s="83">
        <v>356.29</v>
      </c>
      <c r="O23" s="83">
        <v>278.62</v>
      </c>
      <c r="P23" s="83">
        <v>187.41</v>
      </c>
      <c r="Q23" s="83">
        <v>478.3</v>
      </c>
      <c r="R23" s="83"/>
      <c r="S23" s="84">
        <v>41965</v>
      </c>
      <c r="T23" s="84">
        <v>29703</v>
      </c>
      <c r="U23" s="84">
        <v>17730</v>
      </c>
      <c r="V23" s="84">
        <v>55681</v>
      </c>
    </row>
    <row r="24" spans="1:22">
      <c r="A24" s="69"/>
      <c r="B24" s="82">
        <v>2070</v>
      </c>
      <c r="C24" s="82"/>
      <c r="D24" s="83">
        <v>460.64</v>
      </c>
      <c r="E24" s="83">
        <v>504.28</v>
      </c>
      <c r="F24" s="83">
        <v>573.5</v>
      </c>
      <c r="G24" s="83">
        <v>730.03</v>
      </c>
      <c r="H24" s="83"/>
      <c r="I24" s="83">
        <v>8.3000000000000007</v>
      </c>
      <c r="J24" s="83">
        <v>9.4600000000000009</v>
      </c>
      <c r="K24" s="83">
        <v>11.12</v>
      </c>
      <c r="L24" s="83">
        <v>8.4600000000000009</v>
      </c>
      <c r="M24" s="83"/>
      <c r="N24" s="83">
        <v>419.29</v>
      </c>
      <c r="O24" s="83">
        <v>334.19</v>
      </c>
      <c r="P24" s="83">
        <v>204.08</v>
      </c>
      <c r="Q24" s="83">
        <v>605.79999999999995</v>
      </c>
      <c r="R24" s="83"/>
      <c r="S24" s="84">
        <v>50516</v>
      </c>
      <c r="T24" s="84">
        <v>35326</v>
      </c>
      <c r="U24" s="84">
        <v>18352</v>
      </c>
      <c r="V24" s="84">
        <v>71607</v>
      </c>
    </row>
    <row r="25" spans="1:22">
      <c r="A25" s="69"/>
      <c r="B25" s="85">
        <v>2080</v>
      </c>
      <c r="C25" s="85"/>
      <c r="D25" s="86">
        <v>453.86</v>
      </c>
      <c r="E25" s="86">
        <v>504.78</v>
      </c>
      <c r="F25" s="86">
        <v>599.94000000000005</v>
      </c>
      <c r="G25" s="86">
        <v>841.52</v>
      </c>
      <c r="H25" s="86"/>
      <c r="I25" s="86">
        <v>7.97</v>
      </c>
      <c r="J25" s="86">
        <v>9.41</v>
      </c>
      <c r="K25" s="86">
        <v>11.63</v>
      </c>
      <c r="L25" s="86">
        <v>8.1999999999999993</v>
      </c>
      <c r="M25" s="86"/>
      <c r="N25" s="86">
        <v>475.42</v>
      </c>
      <c r="O25" s="86">
        <v>394.48</v>
      </c>
      <c r="P25" s="86">
        <v>221.35</v>
      </c>
      <c r="Q25" s="86">
        <v>740.6</v>
      </c>
      <c r="R25" s="86"/>
      <c r="S25" s="87">
        <v>59651</v>
      </c>
      <c r="T25" s="87">
        <v>41921</v>
      </c>
      <c r="U25" s="87">
        <v>19032</v>
      </c>
      <c r="V25" s="87">
        <v>90317</v>
      </c>
    </row>
    <row r="26" spans="1:22">
      <c r="A26" s="69"/>
      <c r="B26" s="82">
        <v>2090</v>
      </c>
      <c r="C26" s="82"/>
      <c r="D26" s="83">
        <v>443.09</v>
      </c>
      <c r="E26" s="83">
        <v>500.71</v>
      </c>
      <c r="F26" s="83">
        <v>623.13</v>
      </c>
      <c r="G26" s="83">
        <v>963.84</v>
      </c>
      <c r="H26" s="83"/>
      <c r="I26" s="83">
        <v>7.51</v>
      </c>
      <c r="J26" s="83">
        <v>9.25</v>
      </c>
      <c r="K26" s="83">
        <v>12.13</v>
      </c>
      <c r="L26" s="83">
        <v>7.83</v>
      </c>
      <c r="M26" s="83"/>
      <c r="N26" s="83">
        <v>524.88</v>
      </c>
      <c r="O26" s="83">
        <v>459.9</v>
      </c>
      <c r="P26" s="83">
        <v>240.09</v>
      </c>
      <c r="Q26" s="83">
        <v>882.3</v>
      </c>
      <c r="R26" s="83"/>
      <c r="S26" s="84">
        <v>69890</v>
      </c>
      <c r="T26" s="84">
        <v>49718</v>
      </c>
      <c r="U26" s="84">
        <v>19793</v>
      </c>
      <c r="V26" s="84">
        <v>112681</v>
      </c>
    </row>
    <row r="27" spans="1:22">
      <c r="A27" s="69"/>
      <c r="B27" s="82">
        <v>2100</v>
      </c>
      <c r="C27" s="82"/>
      <c r="D27" s="83">
        <v>432.17</v>
      </c>
      <c r="E27" s="83">
        <v>494.15</v>
      </c>
      <c r="F27" s="83">
        <v>645.05999999999995</v>
      </c>
      <c r="G27" s="83">
        <v>1088.97</v>
      </c>
      <c r="H27" s="83"/>
      <c r="I27" s="83">
        <v>6.96</v>
      </c>
      <c r="J27" s="83">
        <v>9.0299999999999994</v>
      </c>
      <c r="K27" s="83">
        <v>12.62</v>
      </c>
      <c r="L27" s="83">
        <v>7.38</v>
      </c>
      <c r="M27" s="83"/>
      <c r="N27" s="83">
        <v>565.39</v>
      </c>
      <c r="O27" s="83">
        <v>531.92999999999995</v>
      </c>
      <c r="P27" s="83">
        <v>261.54000000000002</v>
      </c>
      <c r="Q27" s="83">
        <v>1031</v>
      </c>
      <c r="R27" s="83"/>
      <c r="S27" s="84">
        <v>81234</v>
      </c>
      <c r="T27" s="84">
        <v>58906</v>
      </c>
      <c r="U27" s="84">
        <v>20724</v>
      </c>
      <c r="V27" s="84">
        <v>139701</v>
      </c>
    </row>
    <row r="28" spans="1:22">
      <c r="A28" s="69"/>
      <c r="B28" s="85">
        <v>2110</v>
      </c>
      <c r="C28" s="85"/>
      <c r="D28" s="88">
        <v>421.25</v>
      </c>
      <c r="E28" s="88">
        <v>487.59</v>
      </c>
      <c r="F28" s="88">
        <v>666.99</v>
      </c>
      <c r="G28" s="88">
        <v>1214.0999999999999</v>
      </c>
      <c r="H28" s="89"/>
      <c r="I28" s="89"/>
      <c r="J28" s="90"/>
      <c r="K28" s="90"/>
      <c r="L28" s="90"/>
      <c r="M28" s="89"/>
      <c r="N28" s="89"/>
      <c r="O28" s="90"/>
      <c r="P28" s="90"/>
      <c r="Q28" s="90"/>
      <c r="R28" s="89"/>
      <c r="S28" s="89"/>
      <c r="T28" s="90"/>
      <c r="U28" s="90"/>
      <c r="V28" s="90"/>
    </row>
    <row r="29" spans="1:22">
      <c r="A29" s="69"/>
      <c r="B29" s="82">
        <v>2120</v>
      </c>
      <c r="C29" s="82"/>
      <c r="D29" s="90">
        <v>410.33</v>
      </c>
      <c r="E29" s="90">
        <v>481.03</v>
      </c>
      <c r="F29" s="90">
        <v>688.92</v>
      </c>
      <c r="G29" s="90">
        <v>1339.23</v>
      </c>
      <c r="H29" s="89"/>
      <c r="I29" s="89"/>
      <c r="J29" s="90"/>
      <c r="K29" s="90"/>
      <c r="L29" s="90"/>
      <c r="M29" s="89"/>
      <c r="N29" s="89"/>
      <c r="O29" s="90"/>
      <c r="P29" s="90"/>
      <c r="Q29" s="90"/>
      <c r="R29" s="89"/>
      <c r="S29" s="89"/>
      <c r="T29" s="90"/>
      <c r="U29" s="90"/>
      <c r="V29" s="90"/>
    </row>
    <row r="30" spans="1:22">
      <c r="A30" s="69"/>
      <c r="B30" s="82">
        <v>2130</v>
      </c>
      <c r="C30" s="82"/>
      <c r="D30" s="90">
        <v>400</v>
      </c>
      <c r="E30" s="90">
        <v>474.47</v>
      </c>
      <c r="F30" s="90">
        <v>710.85</v>
      </c>
      <c r="G30" s="90">
        <v>1464.36</v>
      </c>
      <c r="H30" s="89"/>
      <c r="I30" s="89"/>
      <c r="J30" s="90"/>
      <c r="K30" s="90"/>
      <c r="L30" s="90"/>
      <c r="M30" s="89"/>
      <c r="N30" s="89"/>
      <c r="O30" s="90"/>
      <c r="P30" s="90"/>
      <c r="Q30" s="90"/>
      <c r="R30" s="89"/>
      <c r="S30" s="89"/>
      <c r="T30" s="90"/>
      <c r="U30" s="90"/>
      <c r="V30" s="90"/>
    </row>
    <row r="31" spans="1:22">
      <c r="A31" s="69"/>
      <c r="B31" s="85">
        <v>2140</v>
      </c>
      <c r="C31" s="85"/>
      <c r="D31" s="88">
        <v>400</v>
      </c>
      <c r="E31" s="88">
        <v>467.91</v>
      </c>
      <c r="F31" s="88">
        <v>732.78</v>
      </c>
      <c r="G31" s="88">
        <v>1589.49</v>
      </c>
      <c r="H31" s="89"/>
      <c r="I31" s="89"/>
      <c r="J31" s="90"/>
      <c r="K31" s="90"/>
      <c r="L31" s="90"/>
      <c r="M31" s="89"/>
      <c r="N31" s="89"/>
      <c r="O31" s="90"/>
      <c r="P31" s="90"/>
      <c r="Q31" s="90"/>
      <c r="R31" s="89"/>
      <c r="S31" s="89"/>
      <c r="T31" s="90"/>
      <c r="U31" s="90"/>
      <c r="V31" s="90"/>
    </row>
    <row r="32" spans="1:22">
      <c r="A32" s="69"/>
      <c r="B32" s="82">
        <v>2150</v>
      </c>
      <c r="C32" s="82"/>
      <c r="D32" s="90">
        <v>400</v>
      </c>
      <c r="E32" s="90">
        <v>461.35</v>
      </c>
      <c r="F32" s="90">
        <v>754.71</v>
      </c>
      <c r="G32" s="90">
        <v>1714.62</v>
      </c>
      <c r="H32" s="89"/>
      <c r="I32" s="89"/>
      <c r="J32" s="90"/>
      <c r="K32" s="90"/>
      <c r="L32" s="90"/>
      <c r="M32" s="89"/>
      <c r="N32" s="89"/>
      <c r="O32" s="90"/>
      <c r="P32" s="90"/>
      <c r="Q32" s="90"/>
      <c r="R32" s="89"/>
      <c r="S32" s="89"/>
      <c r="T32" s="90"/>
      <c r="U32" s="90"/>
      <c r="V32" s="90"/>
    </row>
    <row r="33" spans="1:22">
      <c r="A33" s="69"/>
      <c r="B33" s="82"/>
      <c r="C33" s="82"/>
      <c r="D33" s="90"/>
      <c r="E33" s="90"/>
      <c r="F33" s="90"/>
      <c r="G33" s="90"/>
      <c r="H33" s="89"/>
      <c r="I33" s="89"/>
      <c r="J33" s="90"/>
      <c r="K33" s="90"/>
      <c r="L33" s="90"/>
      <c r="M33" s="89"/>
      <c r="N33" s="89"/>
      <c r="O33" s="90"/>
      <c r="P33" s="90"/>
      <c r="Q33" s="90"/>
      <c r="R33" s="89"/>
      <c r="S33" s="89"/>
      <c r="T33" s="90"/>
      <c r="U33" s="90"/>
      <c r="V33" s="90"/>
    </row>
    <row r="34" spans="1:22">
      <c r="A34" s="69"/>
      <c r="B34" s="91" t="s">
        <v>114</v>
      </c>
      <c r="C34" s="91"/>
      <c r="D34" s="70"/>
      <c r="E34" s="70"/>
      <c r="F34" s="70"/>
      <c r="G34" s="70"/>
      <c r="H34" s="70"/>
      <c r="I34" s="70"/>
      <c r="J34" s="70"/>
      <c r="K34" s="70"/>
      <c r="L34" s="70"/>
      <c r="M34" s="70"/>
      <c r="N34" s="70"/>
      <c r="O34" s="70"/>
      <c r="P34" s="70"/>
      <c r="Q34" s="70"/>
      <c r="R34" s="70"/>
      <c r="S34" s="70"/>
      <c r="T34" s="70"/>
      <c r="U34" s="70"/>
      <c r="V34" s="70"/>
    </row>
    <row r="35" spans="1:22">
      <c r="A35" s="69"/>
      <c r="B35" s="70"/>
      <c r="C35" s="70"/>
      <c r="D35" s="70"/>
      <c r="E35" s="70"/>
      <c r="F35" s="70"/>
      <c r="G35" s="70"/>
      <c r="H35" s="70"/>
      <c r="I35" s="70"/>
      <c r="J35" s="70"/>
      <c r="K35" s="70"/>
      <c r="L35" s="70"/>
      <c r="M35" s="70"/>
      <c r="N35" s="70"/>
      <c r="O35" s="70"/>
      <c r="P35" s="70"/>
      <c r="Q35" s="70"/>
      <c r="R35" s="70"/>
      <c r="S35" s="70"/>
      <c r="T35" s="70"/>
      <c r="U35" s="70"/>
      <c r="V35" s="70"/>
    </row>
    <row r="36" spans="1:22">
      <c r="A36" s="69"/>
      <c r="B36" s="92" t="s">
        <v>115</v>
      </c>
      <c r="C36" s="93"/>
      <c r="D36" s="93"/>
      <c r="E36" s="93"/>
      <c r="F36" s="93"/>
      <c r="G36" s="93"/>
      <c r="H36" s="93"/>
      <c r="I36" s="93"/>
      <c r="J36" s="93"/>
      <c r="K36" s="93"/>
      <c r="L36" s="93"/>
      <c r="M36" s="93"/>
      <c r="N36" s="93"/>
      <c r="O36" s="93"/>
      <c r="P36" s="93"/>
      <c r="Q36" s="93"/>
      <c r="R36" s="93"/>
      <c r="S36" s="93"/>
      <c r="T36" s="93"/>
      <c r="U36" s="93"/>
      <c r="V36" s="93"/>
    </row>
    <row r="37" spans="1:22" ht="15.75">
      <c r="A37" s="69"/>
      <c r="B37" s="94" t="s">
        <v>116</v>
      </c>
      <c r="C37" s="92"/>
      <c r="D37" s="92"/>
      <c r="E37" s="92"/>
      <c r="F37" s="92"/>
      <c r="G37" s="92"/>
      <c r="H37" s="92"/>
      <c r="I37" s="92"/>
      <c r="J37" s="92"/>
      <c r="K37" s="92"/>
      <c r="L37" s="92"/>
      <c r="M37" s="92"/>
      <c r="N37" s="92"/>
      <c r="O37" s="92"/>
      <c r="P37" s="92"/>
      <c r="Q37" s="92"/>
      <c r="R37" s="92"/>
      <c r="S37" s="92"/>
      <c r="T37" s="92"/>
      <c r="U37" s="92"/>
      <c r="V37" s="92"/>
    </row>
    <row r="38" spans="1:22">
      <c r="A38" s="69"/>
      <c r="B38" s="92" t="s">
        <v>117</v>
      </c>
      <c r="C38" s="92"/>
      <c r="D38" s="92"/>
      <c r="E38" s="92"/>
      <c r="F38" s="92"/>
      <c r="G38" s="92"/>
      <c r="H38" s="92"/>
      <c r="I38" s="92"/>
      <c r="J38" s="92"/>
      <c r="K38" s="92"/>
      <c r="L38" s="92"/>
      <c r="M38" s="92"/>
      <c r="N38" s="92"/>
      <c r="O38" s="92"/>
      <c r="P38" s="92"/>
      <c r="Q38" s="92"/>
      <c r="R38" s="92"/>
      <c r="S38" s="92"/>
      <c r="T38" s="92"/>
      <c r="U38" s="92"/>
      <c r="V38" s="92"/>
    </row>
    <row r="39" spans="1:22">
      <c r="A39" s="69"/>
      <c r="B39" s="92"/>
      <c r="C39" s="92"/>
      <c r="D39" s="92"/>
      <c r="E39" s="92"/>
      <c r="F39" s="92"/>
      <c r="G39" s="92"/>
      <c r="H39" s="92"/>
      <c r="I39" s="92"/>
      <c r="J39" s="92"/>
      <c r="K39" s="92"/>
      <c r="L39" s="92"/>
      <c r="M39" s="92"/>
      <c r="N39" s="92"/>
      <c r="O39" s="92"/>
      <c r="P39" s="92"/>
      <c r="Q39" s="92"/>
      <c r="R39" s="92"/>
      <c r="S39" s="92"/>
      <c r="T39" s="92"/>
      <c r="U39" s="92"/>
      <c r="V39" s="92"/>
    </row>
    <row r="40" spans="1:22" ht="15.75">
      <c r="A40" s="69"/>
      <c r="B40" s="94" t="s">
        <v>118</v>
      </c>
      <c r="C40" s="92"/>
      <c r="D40" s="92"/>
      <c r="E40" s="92"/>
      <c r="F40" s="92"/>
      <c r="G40" s="92"/>
      <c r="H40" s="92"/>
      <c r="I40" s="92"/>
      <c r="J40" s="92"/>
      <c r="K40" s="92"/>
      <c r="L40" s="92"/>
      <c r="M40" s="92"/>
      <c r="N40" s="92"/>
      <c r="O40" s="92"/>
      <c r="P40" s="92"/>
      <c r="Q40" s="92"/>
      <c r="R40" s="92"/>
      <c r="S40" s="92"/>
      <c r="T40" s="92"/>
      <c r="U40" s="92"/>
      <c r="V40" s="92"/>
    </row>
    <row r="41" spans="1:22">
      <c r="A41" s="69"/>
      <c r="B41" s="92" t="s">
        <v>119</v>
      </c>
      <c r="C41" s="92"/>
      <c r="D41" s="92"/>
      <c r="E41" s="92"/>
      <c r="F41" s="92"/>
      <c r="G41" s="92"/>
      <c r="H41" s="92"/>
      <c r="I41" s="92"/>
      <c r="J41" s="92"/>
      <c r="K41" s="92"/>
      <c r="L41" s="92"/>
      <c r="M41" s="92"/>
      <c r="N41" s="92"/>
      <c r="O41" s="92"/>
      <c r="P41" s="92"/>
      <c r="Q41" s="92"/>
      <c r="R41" s="92"/>
      <c r="S41" s="92"/>
      <c r="T41" s="92"/>
      <c r="U41" s="92"/>
      <c r="V41" s="92"/>
    </row>
    <row r="42" spans="1:22">
      <c r="A42" s="69"/>
      <c r="B42" s="92" t="s">
        <v>120</v>
      </c>
      <c r="C42" s="92"/>
      <c r="D42" s="92"/>
      <c r="E42" s="92"/>
      <c r="F42" s="92"/>
      <c r="G42" s="92"/>
      <c r="H42" s="92"/>
      <c r="I42" s="92"/>
      <c r="J42" s="92"/>
      <c r="K42" s="92"/>
      <c r="L42" s="92"/>
      <c r="M42" s="92"/>
      <c r="N42" s="92"/>
      <c r="O42" s="92"/>
      <c r="P42" s="92"/>
      <c r="Q42" s="92"/>
      <c r="R42" s="92"/>
      <c r="S42" s="92"/>
      <c r="T42" s="92"/>
      <c r="U42" s="92"/>
      <c r="V42" s="92"/>
    </row>
    <row r="43" spans="1:22">
      <c r="A43" s="69"/>
      <c r="B43" s="92" t="s">
        <v>121</v>
      </c>
      <c r="C43" s="92"/>
      <c r="D43" s="92"/>
      <c r="E43" s="92"/>
      <c r="F43" s="92"/>
      <c r="G43" s="92"/>
      <c r="H43" s="92"/>
      <c r="I43" s="92"/>
      <c r="J43" s="92"/>
      <c r="K43" s="92"/>
      <c r="L43" s="92"/>
      <c r="M43" s="92"/>
      <c r="N43" s="92"/>
      <c r="O43" s="92"/>
      <c r="P43" s="92"/>
      <c r="Q43" s="92"/>
      <c r="R43" s="92"/>
      <c r="S43" s="92"/>
      <c r="T43" s="92"/>
      <c r="U43" s="92"/>
      <c r="V43" s="92"/>
    </row>
    <row r="44" spans="1:22">
      <c r="A44" s="69"/>
      <c r="B44" s="92" t="s">
        <v>122</v>
      </c>
      <c r="C44" s="92"/>
      <c r="D44" s="92"/>
      <c r="E44" s="92"/>
      <c r="F44" s="92"/>
      <c r="G44" s="92"/>
      <c r="H44" s="92"/>
      <c r="I44" s="92"/>
      <c r="J44" s="92"/>
      <c r="K44" s="92"/>
      <c r="L44" s="92"/>
      <c r="M44" s="92"/>
      <c r="N44" s="92"/>
      <c r="O44" s="92"/>
      <c r="P44" s="92"/>
      <c r="Q44" s="92"/>
      <c r="R44" s="92"/>
      <c r="S44" s="92"/>
      <c r="T44" s="92"/>
      <c r="U44" s="92"/>
      <c r="V44" s="92"/>
    </row>
    <row r="45" spans="1:22">
      <c r="A45" s="69"/>
      <c r="B45" s="92" t="s">
        <v>123</v>
      </c>
      <c r="C45" s="92"/>
      <c r="D45" s="92"/>
      <c r="E45" s="92"/>
      <c r="F45" s="92"/>
      <c r="G45" s="92"/>
      <c r="H45" s="92"/>
      <c r="I45" s="92"/>
      <c r="J45" s="92"/>
      <c r="K45" s="92"/>
      <c r="L45" s="92"/>
      <c r="M45" s="92"/>
      <c r="N45" s="92"/>
      <c r="O45" s="92"/>
      <c r="P45" s="92"/>
      <c r="Q45" s="92"/>
      <c r="R45" s="92"/>
      <c r="S45" s="92"/>
      <c r="T45" s="92"/>
      <c r="U45" s="92"/>
      <c r="V45" s="92"/>
    </row>
    <row r="46" spans="1:22">
      <c r="A46" s="69"/>
      <c r="B46" s="92" t="s">
        <v>124</v>
      </c>
      <c r="C46" s="92"/>
      <c r="D46" s="92"/>
      <c r="E46" s="92"/>
      <c r="F46" s="92"/>
      <c r="G46" s="92"/>
      <c r="H46" s="92"/>
      <c r="I46" s="92"/>
      <c r="J46" s="92"/>
      <c r="K46" s="92"/>
      <c r="L46" s="92"/>
      <c r="M46" s="92"/>
      <c r="N46" s="92"/>
      <c r="O46" s="92"/>
      <c r="P46" s="92"/>
      <c r="Q46" s="92"/>
      <c r="R46" s="92"/>
      <c r="S46" s="92"/>
      <c r="T46" s="92"/>
      <c r="U46" s="92"/>
      <c r="V46" s="92"/>
    </row>
    <row r="47" spans="1:22">
      <c r="A47" s="69"/>
      <c r="B47" s="92" t="s">
        <v>125</v>
      </c>
      <c r="C47" s="92"/>
      <c r="D47" s="92"/>
      <c r="E47" s="92"/>
      <c r="F47" s="92"/>
      <c r="G47" s="92"/>
      <c r="H47" s="92"/>
      <c r="I47" s="92"/>
      <c r="J47" s="92"/>
      <c r="K47" s="92"/>
      <c r="L47" s="92"/>
      <c r="M47" s="92"/>
      <c r="N47" s="92"/>
      <c r="O47" s="92"/>
      <c r="P47" s="92"/>
      <c r="Q47" s="92"/>
      <c r="R47" s="92"/>
      <c r="S47" s="92"/>
      <c r="T47" s="92"/>
      <c r="U47" s="92"/>
      <c r="V47" s="92"/>
    </row>
    <row r="48" spans="1:22">
      <c r="A48" s="69"/>
      <c r="B48" s="92" t="s">
        <v>126</v>
      </c>
      <c r="C48" s="92"/>
      <c r="D48" s="92"/>
      <c r="E48" s="92"/>
      <c r="F48" s="92"/>
      <c r="G48" s="92"/>
      <c r="H48" s="92"/>
      <c r="I48" s="92"/>
      <c r="J48" s="92"/>
      <c r="K48" s="92"/>
      <c r="L48" s="92"/>
      <c r="M48" s="92"/>
      <c r="N48" s="92"/>
      <c r="O48" s="92"/>
      <c r="P48" s="92"/>
      <c r="Q48" s="92"/>
      <c r="R48" s="92"/>
      <c r="S48" s="92"/>
      <c r="T48" s="92"/>
      <c r="U48" s="92"/>
      <c r="V48" s="92"/>
    </row>
    <row r="49" spans="1:22">
      <c r="A49" s="69"/>
      <c r="B49" s="92" t="s">
        <v>127</v>
      </c>
      <c r="C49" s="92"/>
      <c r="D49" s="92"/>
      <c r="E49" s="92"/>
      <c r="F49" s="92"/>
      <c r="G49" s="92"/>
      <c r="H49" s="92"/>
      <c r="I49" s="92"/>
      <c r="J49" s="92"/>
      <c r="K49" s="92"/>
      <c r="L49" s="92"/>
      <c r="M49" s="92"/>
      <c r="N49" s="92"/>
      <c r="O49" s="92"/>
      <c r="P49" s="92"/>
      <c r="Q49" s="92"/>
      <c r="R49" s="92"/>
      <c r="S49" s="92"/>
      <c r="T49" s="92"/>
      <c r="U49" s="92"/>
      <c r="V49" s="92"/>
    </row>
    <row r="50" spans="1:22">
      <c r="A50" s="69"/>
      <c r="B50" s="92" t="s">
        <v>128</v>
      </c>
      <c r="C50" s="92"/>
      <c r="D50" s="92"/>
      <c r="E50" s="92"/>
      <c r="F50" s="92"/>
      <c r="G50" s="92"/>
      <c r="H50" s="92"/>
      <c r="I50" s="92"/>
      <c r="J50" s="92"/>
      <c r="K50" s="92"/>
      <c r="L50" s="92"/>
      <c r="M50" s="92"/>
      <c r="N50" s="92"/>
      <c r="O50" s="92"/>
      <c r="P50" s="92"/>
      <c r="Q50" s="92"/>
      <c r="R50" s="92"/>
      <c r="S50" s="92"/>
      <c r="T50" s="92"/>
      <c r="U50" s="92"/>
      <c r="V50" s="92"/>
    </row>
    <row r="51" spans="1:22">
      <c r="A51" s="69"/>
      <c r="B51" s="92" t="s">
        <v>129</v>
      </c>
      <c r="C51" s="92"/>
      <c r="D51" s="92"/>
      <c r="E51" s="92"/>
      <c r="F51" s="92"/>
      <c r="G51" s="92"/>
      <c r="H51" s="92"/>
      <c r="I51" s="92"/>
      <c r="J51" s="92"/>
      <c r="K51" s="92"/>
      <c r="L51" s="92"/>
      <c r="M51" s="92"/>
      <c r="N51" s="92"/>
      <c r="O51" s="92"/>
      <c r="P51" s="92"/>
      <c r="Q51" s="92"/>
      <c r="R51" s="92"/>
      <c r="S51" s="92"/>
      <c r="T51" s="92"/>
      <c r="U51" s="92"/>
      <c r="V51" s="92"/>
    </row>
    <row r="52" spans="1:22">
      <c r="A52" s="69"/>
      <c r="B52" s="92"/>
      <c r="C52" s="92"/>
      <c r="D52" s="92"/>
      <c r="E52" s="92"/>
      <c r="F52" s="92"/>
      <c r="G52" s="92"/>
      <c r="H52" s="92"/>
      <c r="I52" s="92"/>
      <c r="J52" s="92"/>
      <c r="K52" s="92"/>
      <c r="L52" s="92"/>
      <c r="M52" s="92"/>
      <c r="N52" s="92"/>
      <c r="O52" s="92"/>
      <c r="P52" s="92"/>
      <c r="Q52" s="92"/>
      <c r="R52" s="92"/>
      <c r="S52" s="92"/>
      <c r="T52" s="92"/>
      <c r="U52" s="92"/>
      <c r="V52" s="92"/>
    </row>
    <row r="53" spans="1:22" ht="15.75">
      <c r="A53" s="69"/>
      <c r="B53" s="94" t="s">
        <v>130</v>
      </c>
      <c r="C53" s="92"/>
      <c r="D53" s="92"/>
      <c r="E53" s="92"/>
      <c r="F53" s="92"/>
      <c r="G53" s="92"/>
      <c r="H53" s="92"/>
      <c r="I53" s="92"/>
      <c r="J53" s="92"/>
      <c r="K53" s="92"/>
      <c r="L53" s="92"/>
      <c r="M53" s="92"/>
      <c r="N53" s="92"/>
      <c r="O53" s="92"/>
      <c r="P53" s="92"/>
      <c r="Q53" s="92"/>
      <c r="R53" s="92"/>
      <c r="S53" s="92"/>
      <c r="T53" s="92"/>
      <c r="U53" s="92"/>
      <c r="V53" s="92"/>
    </row>
    <row r="54" spans="1:22">
      <c r="A54" s="69"/>
      <c r="B54" s="238" t="s">
        <v>131</v>
      </c>
      <c r="C54" s="240"/>
      <c r="D54" s="240"/>
      <c r="E54" s="240"/>
      <c r="F54" s="240"/>
      <c r="G54" s="240"/>
      <c r="H54" s="240"/>
      <c r="I54" s="240"/>
      <c r="J54" s="240"/>
      <c r="K54" s="240"/>
      <c r="L54" s="240"/>
      <c r="M54" s="240"/>
      <c r="N54" s="240"/>
      <c r="O54" s="240"/>
      <c r="P54" s="240"/>
      <c r="Q54" s="240"/>
      <c r="R54" s="240"/>
      <c r="S54" s="240"/>
      <c r="T54" s="240"/>
      <c r="U54" s="240"/>
      <c r="V54" s="240"/>
    </row>
    <row r="55" spans="1:22">
      <c r="A55" s="69"/>
      <c r="B55" s="240"/>
      <c r="C55" s="240"/>
      <c r="D55" s="240"/>
      <c r="E55" s="240"/>
      <c r="F55" s="240"/>
      <c r="G55" s="240"/>
      <c r="H55" s="240"/>
      <c r="I55" s="240"/>
      <c r="J55" s="240"/>
      <c r="K55" s="240"/>
      <c r="L55" s="240"/>
      <c r="M55" s="240"/>
      <c r="N55" s="240"/>
      <c r="O55" s="240"/>
      <c r="P55" s="240"/>
      <c r="Q55" s="240"/>
      <c r="R55" s="240"/>
      <c r="S55" s="240"/>
      <c r="T55" s="240"/>
      <c r="U55" s="240"/>
      <c r="V55" s="240"/>
    </row>
    <row r="56" spans="1:22">
      <c r="A56" s="69"/>
      <c r="B56" s="240"/>
      <c r="C56" s="240"/>
      <c r="D56" s="240"/>
      <c r="E56" s="240"/>
      <c r="F56" s="240"/>
      <c r="G56" s="240"/>
      <c r="H56" s="240"/>
      <c r="I56" s="240"/>
      <c r="J56" s="240"/>
      <c r="K56" s="240"/>
      <c r="L56" s="240"/>
      <c r="M56" s="240"/>
      <c r="N56" s="240"/>
      <c r="O56" s="240"/>
      <c r="P56" s="240"/>
      <c r="Q56" s="240"/>
      <c r="R56" s="240"/>
      <c r="S56" s="240"/>
      <c r="T56" s="240"/>
      <c r="U56" s="240"/>
      <c r="V56" s="240"/>
    </row>
    <row r="57" spans="1:22">
      <c r="A57" s="69"/>
      <c r="B57" s="240"/>
      <c r="C57" s="240"/>
      <c r="D57" s="240"/>
      <c r="E57" s="240"/>
      <c r="F57" s="240"/>
      <c r="G57" s="240"/>
      <c r="H57" s="240"/>
      <c r="I57" s="240"/>
      <c r="J57" s="240"/>
      <c r="K57" s="240"/>
      <c r="L57" s="240"/>
      <c r="M57" s="240"/>
      <c r="N57" s="240"/>
      <c r="O57" s="240"/>
      <c r="P57" s="240"/>
      <c r="Q57" s="240"/>
      <c r="R57" s="240"/>
      <c r="S57" s="240"/>
      <c r="T57" s="240"/>
      <c r="U57" s="240"/>
      <c r="V57" s="240"/>
    </row>
    <row r="58" spans="1:22">
      <c r="A58" s="69"/>
      <c r="B58" s="240"/>
      <c r="C58" s="240"/>
      <c r="D58" s="240"/>
      <c r="E58" s="240"/>
      <c r="F58" s="240"/>
      <c r="G58" s="240"/>
      <c r="H58" s="240"/>
      <c r="I58" s="240"/>
      <c r="J58" s="240"/>
      <c r="K58" s="240"/>
      <c r="L58" s="240"/>
      <c r="M58" s="240"/>
      <c r="N58" s="240"/>
      <c r="O58" s="240"/>
      <c r="P58" s="240"/>
      <c r="Q58" s="240"/>
      <c r="R58" s="240"/>
      <c r="S58" s="240"/>
      <c r="T58" s="240"/>
      <c r="U58" s="240"/>
      <c r="V58" s="240"/>
    </row>
    <row r="59" spans="1:22">
      <c r="A59" s="69"/>
      <c r="B59" s="240"/>
      <c r="C59" s="240"/>
      <c r="D59" s="240"/>
      <c r="E59" s="240"/>
      <c r="F59" s="240"/>
      <c r="G59" s="240"/>
      <c r="H59" s="240"/>
      <c r="I59" s="240"/>
      <c r="J59" s="240"/>
      <c r="K59" s="240"/>
      <c r="L59" s="240"/>
      <c r="M59" s="240"/>
      <c r="N59" s="240"/>
      <c r="O59" s="240"/>
      <c r="P59" s="240"/>
      <c r="Q59" s="240"/>
      <c r="R59" s="240"/>
      <c r="S59" s="240"/>
      <c r="T59" s="240"/>
      <c r="U59" s="240"/>
      <c r="V59" s="240"/>
    </row>
    <row r="60" spans="1:22">
      <c r="A60" s="69"/>
      <c r="B60" s="95"/>
      <c r="C60" s="95"/>
      <c r="D60" s="95"/>
      <c r="E60" s="95"/>
      <c r="F60" s="95"/>
      <c r="G60" s="95"/>
      <c r="H60" s="95"/>
      <c r="I60" s="95"/>
      <c r="J60" s="95"/>
      <c r="K60" s="95"/>
      <c r="L60" s="95"/>
      <c r="M60" s="95"/>
      <c r="N60" s="95"/>
      <c r="O60" s="95"/>
      <c r="P60" s="95"/>
      <c r="Q60" s="95"/>
      <c r="R60" s="95"/>
      <c r="S60" s="95"/>
      <c r="T60" s="95"/>
      <c r="U60" s="95"/>
      <c r="V60" s="95"/>
    </row>
    <row r="61" spans="1:22" ht="15.75">
      <c r="A61" s="69"/>
      <c r="B61" s="94" t="s">
        <v>132</v>
      </c>
      <c r="C61" s="92"/>
      <c r="D61" s="92"/>
      <c r="E61" s="92"/>
      <c r="F61" s="92"/>
      <c r="G61" s="92"/>
      <c r="H61" s="92"/>
      <c r="I61" s="92"/>
      <c r="J61" s="92"/>
      <c r="K61" s="92"/>
      <c r="L61" s="92"/>
      <c r="M61" s="92"/>
      <c r="N61" s="92"/>
      <c r="O61" s="92"/>
      <c r="P61" s="92"/>
      <c r="Q61" s="92"/>
      <c r="R61" s="92"/>
      <c r="S61" s="92"/>
      <c r="T61" s="92"/>
      <c r="U61" s="92"/>
      <c r="V61" s="92"/>
    </row>
    <row r="62" spans="1:22">
      <c r="A62" s="69"/>
      <c r="B62" s="92" t="s">
        <v>133</v>
      </c>
      <c r="C62" s="92"/>
      <c r="D62" s="92"/>
      <c r="E62" s="92"/>
      <c r="F62" s="92"/>
      <c r="G62" s="92"/>
      <c r="H62" s="92"/>
      <c r="I62" s="92"/>
      <c r="J62" s="92"/>
      <c r="K62" s="92"/>
      <c r="L62" s="92"/>
      <c r="M62" s="92"/>
      <c r="N62" s="92"/>
      <c r="O62" s="92"/>
      <c r="P62" s="92"/>
      <c r="Q62" s="92"/>
      <c r="R62" s="92"/>
      <c r="S62" s="92"/>
      <c r="T62" s="92"/>
      <c r="U62" s="92"/>
      <c r="V62" s="92"/>
    </row>
    <row r="63" spans="1:22">
      <c r="A63" s="69"/>
      <c r="B63" s="92"/>
      <c r="C63" s="92"/>
      <c r="D63" s="92"/>
      <c r="E63" s="92"/>
      <c r="F63" s="92"/>
      <c r="G63" s="92"/>
      <c r="H63" s="92"/>
      <c r="I63" s="92"/>
      <c r="J63" s="92"/>
      <c r="K63" s="92"/>
      <c r="L63" s="92"/>
      <c r="M63" s="92"/>
      <c r="N63" s="92"/>
      <c r="O63" s="92"/>
      <c r="P63" s="92"/>
      <c r="Q63" s="92"/>
      <c r="R63" s="92"/>
      <c r="S63" s="92"/>
      <c r="T63" s="92"/>
      <c r="U63" s="92"/>
      <c r="V63" s="92"/>
    </row>
    <row r="64" spans="1:22">
      <c r="A64" s="69"/>
      <c r="B64" s="95" t="s">
        <v>134</v>
      </c>
      <c r="C64" s="92"/>
      <c r="D64" s="92"/>
      <c r="E64" s="92"/>
      <c r="F64" s="92"/>
      <c r="G64" s="92"/>
      <c r="H64" s="92"/>
      <c r="I64" s="92"/>
      <c r="J64" s="92"/>
      <c r="K64" s="92"/>
      <c r="L64" s="92"/>
      <c r="M64" s="92"/>
      <c r="N64" s="92"/>
      <c r="O64" s="92"/>
      <c r="P64" s="92"/>
      <c r="Q64" s="92"/>
      <c r="R64" s="92"/>
      <c r="S64" s="92"/>
      <c r="T64" s="92"/>
      <c r="U64" s="92"/>
      <c r="V64" s="92"/>
    </row>
    <row r="65" spans="1:22">
      <c r="A65" s="69"/>
      <c r="B65" s="238" t="s">
        <v>135</v>
      </c>
      <c r="C65" s="238"/>
      <c r="D65" s="238"/>
      <c r="E65" s="238"/>
      <c r="F65" s="238"/>
      <c r="G65" s="238"/>
      <c r="H65" s="238"/>
      <c r="I65" s="238"/>
      <c r="J65" s="238"/>
      <c r="K65" s="238"/>
      <c r="L65" s="238"/>
      <c r="M65" s="238"/>
      <c r="N65" s="238"/>
      <c r="O65" s="238"/>
      <c r="P65" s="238"/>
      <c r="Q65" s="238"/>
      <c r="R65" s="238"/>
      <c r="S65" s="238"/>
      <c r="T65" s="238"/>
      <c r="U65" s="238"/>
      <c r="V65" s="238"/>
    </row>
    <row r="66" spans="1:22">
      <c r="A66" s="69"/>
      <c r="B66" s="238"/>
      <c r="C66" s="238"/>
      <c r="D66" s="238"/>
      <c r="E66" s="238"/>
      <c r="F66" s="238"/>
      <c r="G66" s="238"/>
      <c r="H66" s="238"/>
      <c r="I66" s="238"/>
      <c r="J66" s="238"/>
      <c r="K66" s="238"/>
      <c r="L66" s="238"/>
      <c r="M66" s="238"/>
      <c r="N66" s="238"/>
      <c r="O66" s="238"/>
      <c r="P66" s="238"/>
      <c r="Q66" s="238"/>
      <c r="R66" s="238"/>
      <c r="S66" s="238"/>
      <c r="T66" s="238"/>
      <c r="U66" s="238"/>
      <c r="V66" s="238"/>
    </row>
    <row r="67" spans="1:22">
      <c r="A67" s="69"/>
      <c r="B67" s="238"/>
      <c r="C67" s="238"/>
      <c r="D67" s="238"/>
      <c r="E67" s="238"/>
      <c r="F67" s="238"/>
      <c r="G67" s="238"/>
      <c r="H67" s="238"/>
      <c r="I67" s="238"/>
      <c r="J67" s="238"/>
      <c r="K67" s="238"/>
      <c r="L67" s="238"/>
      <c r="M67" s="238"/>
      <c r="N67" s="238"/>
      <c r="O67" s="238"/>
      <c r="P67" s="238"/>
      <c r="Q67" s="238"/>
      <c r="R67" s="238"/>
      <c r="S67" s="238"/>
      <c r="T67" s="238"/>
      <c r="U67" s="238"/>
      <c r="V67" s="238"/>
    </row>
    <row r="68" spans="1:22">
      <c r="A68" s="69"/>
      <c r="B68" s="238"/>
      <c r="C68" s="238"/>
      <c r="D68" s="238"/>
      <c r="E68" s="238"/>
      <c r="F68" s="238"/>
      <c r="G68" s="238"/>
      <c r="H68" s="238"/>
      <c r="I68" s="238"/>
      <c r="J68" s="238"/>
      <c r="K68" s="238"/>
      <c r="L68" s="238"/>
      <c r="M68" s="238"/>
      <c r="N68" s="238"/>
      <c r="O68" s="238"/>
      <c r="P68" s="238"/>
      <c r="Q68" s="238"/>
      <c r="R68" s="238"/>
      <c r="S68" s="238"/>
      <c r="T68" s="238"/>
      <c r="U68" s="238"/>
      <c r="V68" s="238"/>
    </row>
    <row r="69" spans="1:22">
      <c r="A69" s="69"/>
      <c r="B69" s="92"/>
      <c r="C69" s="96"/>
      <c r="D69" s="96"/>
      <c r="E69" s="96"/>
      <c r="F69" s="96"/>
      <c r="G69" s="96"/>
      <c r="H69" s="96"/>
      <c r="I69" s="96"/>
      <c r="J69" s="96"/>
      <c r="K69" s="96"/>
      <c r="L69" s="96"/>
      <c r="M69" s="96"/>
      <c r="N69" s="96"/>
      <c r="O69" s="96"/>
      <c r="P69" s="96"/>
      <c r="Q69" s="96"/>
      <c r="R69" s="96"/>
      <c r="S69" s="96"/>
      <c r="T69" s="96"/>
      <c r="U69" s="96"/>
      <c r="V69" s="96"/>
    </row>
    <row r="70" spans="1:22">
      <c r="A70" s="69"/>
      <c r="B70" s="95" t="s">
        <v>136</v>
      </c>
      <c r="C70" s="92"/>
      <c r="D70" s="92"/>
      <c r="E70" s="92"/>
      <c r="F70" s="92"/>
      <c r="G70" s="92"/>
      <c r="H70" s="92"/>
      <c r="I70" s="92"/>
      <c r="J70" s="92"/>
      <c r="K70" s="92"/>
      <c r="L70" s="92"/>
      <c r="M70" s="92"/>
      <c r="N70" s="92"/>
      <c r="O70" s="92"/>
      <c r="P70" s="92"/>
      <c r="Q70" s="92"/>
      <c r="R70" s="92"/>
      <c r="S70" s="92"/>
      <c r="T70" s="92"/>
      <c r="U70" s="92"/>
      <c r="V70" s="92"/>
    </row>
    <row r="71" spans="1:22">
      <c r="A71" s="69"/>
      <c r="B71" s="238" t="s">
        <v>137</v>
      </c>
      <c r="C71" s="238"/>
      <c r="D71" s="238"/>
      <c r="E71" s="238"/>
      <c r="F71" s="238"/>
      <c r="G71" s="238"/>
      <c r="H71" s="238"/>
      <c r="I71" s="238"/>
      <c r="J71" s="238"/>
      <c r="K71" s="238"/>
      <c r="L71" s="238"/>
      <c r="M71" s="238"/>
      <c r="N71" s="238"/>
      <c r="O71" s="238"/>
      <c r="P71" s="238"/>
      <c r="Q71" s="238"/>
      <c r="R71" s="238"/>
      <c r="S71" s="238"/>
      <c r="T71" s="238"/>
      <c r="U71" s="238"/>
      <c r="V71" s="238"/>
    </row>
    <row r="72" spans="1:22">
      <c r="A72" s="69"/>
      <c r="B72" s="238"/>
      <c r="C72" s="238"/>
      <c r="D72" s="238"/>
      <c r="E72" s="238"/>
      <c r="F72" s="238"/>
      <c r="G72" s="238"/>
      <c r="H72" s="238"/>
      <c r="I72" s="238"/>
      <c r="J72" s="238"/>
      <c r="K72" s="238"/>
      <c r="L72" s="238"/>
      <c r="M72" s="238"/>
      <c r="N72" s="238"/>
      <c r="O72" s="238"/>
      <c r="P72" s="238"/>
      <c r="Q72" s="238"/>
      <c r="R72" s="238"/>
      <c r="S72" s="238"/>
      <c r="T72" s="238"/>
      <c r="U72" s="238"/>
      <c r="V72" s="238"/>
    </row>
    <row r="73" spans="1:22">
      <c r="A73" s="69"/>
      <c r="B73" s="238"/>
      <c r="C73" s="238"/>
      <c r="D73" s="238"/>
      <c r="E73" s="238"/>
      <c r="F73" s="238"/>
      <c r="G73" s="238"/>
      <c r="H73" s="238"/>
      <c r="I73" s="238"/>
      <c r="J73" s="238"/>
      <c r="K73" s="238"/>
      <c r="L73" s="238"/>
      <c r="M73" s="238"/>
      <c r="N73" s="238"/>
      <c r="O73" s="238"/>
      <c r="P73" s="238"/>
      <c r="Q73" s="238"/>
      <c r="R73" s="238"/>
      <c r="S73" s="238"/>
      <c r="T73" s="238"/>
      <c r="U73" s="238"/>
      <c r="V73" s="238"/>
    </row>
    <row r="74" spans="1:22">
      <c r="A74" s="69"/>
      <c r="B74" s="238"/>
      <c r="C74" s="238"/>
      <c r="D74" s="238"/>
      <c r="E74" s="238"/>
      <c r="F74" s="238"/>
      <c r="G74" s="238"/>
      <c r="H74" s="238"/>
      <c r="I74" s="238"/>
      <c r="J74" s="238"/>
      <c r="K74" s="238"/>
      <c r="L74" s="238"/>
      <c r="M74" s="238"/>
      <c r="N74" s="238"/>
      <c r="O74" s="238"/>
      <c r="P74" s="238"/>
      <c r="Q74" s="238"/>
      <c r="R74" s="238"/>
      <c r="S74" s="238"/>
      <c r="T74" s="238"/>
      <c r="U74" s="238"/>
      <c r="V74" s="238"/>
    </row>
    <row r="75" spans="1:22">
      <c r="A75" s="69"/>
      <c r="B75" s="238"/>
      <c r="C75" s="238"/>
      <c r="D75" s="238"/>
      <c r="E75" s="238"/>
      <c r="F75" s="238"/>
      <c r="G75" s="238"/>
      <c r="H75" s="238"/>
      <c r="I75" s="238"/>
      <c r="J75" s="238"/>
      <c r="K75" s="238"/>
      <c r="L75" s="238"/>
      <c r="M75" s="238"/>
      <c r="N75" s="238"/>
      <c r="O75" s="238"/>
      <c r="P75" s="238"/>
      <c r="Q75" s="238"/>
      <c r="R75" s="238"/>
      <c r="S75" s="238"/>
      <c r="T75" s="238"/>
      <c r="U75" s="238"/>
      <c r="V75" s="238"/>
    </row>
    <row r="76" spans="1:22">
      <c r="A76" s="69"/>
      <c r="B76" s="92"/>
      <c r="C76" s="96"/>
      <c r="D76" s="96"/>
      <c r="E76" s="96"/>
      <c r="F76" s="96"/>
      <c r="G76" s="96"/>
      <c r="H76" s="96"/>
      <c r="I76" s="96"/>
      <c r="J76" s="96"/>
      <c r="K76" s="96"/>
      <c r="L76" s="96"/>
      <c r="M76" s="96"/>
      <c r="N76" s="96"/>
      <c r="O76" s="96"/>
      <c r="P76" s="96"/>
      <c r="Q76" s="96"/>
      <c r="R76" s="96"/>
      <c r="S76" s="96"/>
      <c r="T76" s="96"/>
      <c r="U76" s="96"/>
      <c r="V76" s="96"/>
    </row>
    <row r="77" spans="1:22">
      <c r="A77" s="69"/>
      <c r="B77" s="95" t="s">
        <v>138</v>
      </c>
      <c r="C77" s="92"/>
      <c r="D77" s="92"/>
      <c r="E77" s="92"/>
      <c r="F77" s="92"/>
      <c r="G77" s="92"/>
      <c r="H77" s="92"/>
      <c r="I77" s="92"/>
      <c r="J77" s="92"/>
      <c r="K77" s="92"/>
      <c r="L77" s="92"/>
      <c r="M77" s="92"/>
      <c r="N77" s="92"/>
      <c r="O77" s="92"/>
      <c r="P77" s="92"/>
      <c r="Q77" s="92"/>
      <c r="R77" s="92"/>
      <c r="S77" s="92"/>
      <c r="T77" s="92"/>
      <c r="U77" s="92"/>
      <c r="V77" s="92"/>
    </row>
    <row r="78" spans="1:22">
      <c r="A78" s="69"/>
      <c r="B78" s="238" t="s">
        <v>139</v>
      </c>
      <c r="C78" s="238"/>
      <c r="D78" s="238"/>
      <c r="E78" s="238"/>
      <c r="F78" s="238"/>
      <c r="G78" s="238"/>
      <c r="H78" s="238"/>
      <c r="I78" s="238"/>
      <c r="J78" s="238"/>
      <c r="K78" s="238"/>
      <c r="L78" s="238"/>
      <c r="M78" s="238"/>
      <c r="N78" s="238"/>
      <c r="O78" s="238"/>
      <c r="P78" s="238"/>
      <c r="Q78" s="238"/>
      <c r="R78" s="238"/>
      <c r="S78" s="238"/>
      <c r="T78" s="238"/>
      <c r="U78" s="238"/>
      <c r="V78" s="238"/>
    </row>
    <row r="79" spans="1:22">
      <c r="A79" s="69"/>
      <c r="B79" s="238"/>
      <c r="C79" s="238"/>
      <c r="D79" s="238"/>
      <c r="E79" s="238"/>
      <c r="F79" s="238"/>
      <c r="G79" s="238"/>
      <c r="H79" s="238"/>
      <c r="I79" s="238"/>
      <c r="J79" s="238"/>
      <c r="K79" s="238"/>
      <c r="L79" s="238"/>
      <c r="M79" s="238"/>
      <c r="N79" s="238"/>
      <c r="O79" s="238"/>
      <c r="P79" s="238"/>
      <c r="Q79" s="238"/>
      <c r="R79" s="238"/>
      <c r="S79" s="238"/>
      <c r="T79" s="238"/>
      <c r="U79" s="238"/>
      <c r="V79" s="238"/>
    </row>
    <row r="80" spans="1:22">
      <c r="A80" s="69"/>
      <c r="B80" s="238"/>
      <c r="C80" s="238"/>
      <c r="D80" s="238"/>
      <c r="E80" s="238"/>
      <c r="F80" s="238"/>
      <c r="G80" s="238"/>
      <c r="H80" s="238"/>
      <c r="I80" s="238"/>
      <c r="J80" s="238"/>
      <c r="K80" s="238"/>
      <c r="L80" s="238"/>
      <c r="M80" s="238"/>
      <c r="N80" s="238"/>
      <c r="O80" s="238"/>
      <c r="P80" s="238"/>
      <c r="Q80" s="238"/>
      <c r="R80" s="238"/>
      <c r="S80" s="238"/>
      <c r="T80" s="238"/>
      <c r="U80" s="238"/>
      <c r="V80" s="238"/>
    </row>
    <row r="81" spans="1:22">
      <c r="A81" s="69"/>
      <c r="B81" s="238"/>
      <c r="C81" s="238"/>
      <c r="D81" s="238"/>
      <c r="E81" s="238"/>
      <c r="F81" s="238"/>
      <c r="G81" s="238"/>
      <c r="H81" s="238"/>
      <c r="I81" s="238"/>
      <c r="J81" s="238"/>
      <c r="K81" s="238"/>
      <c r="L81" s="238"/>
      <c r="M81" s="238"/>
      <c r="N81" s="238"/>
      <c r="O81" s="238"/>
      <c r="P81" s="238"/>
      <c r="Q81" s="238"/>
      <c r="R81" s="238"/>
      <c r="S81" s="238"/>
      <c r="T81" s="238"/>
      <c r="U81" s="238"/>
      <c r="V81" s="238"/>
    </row>
    <row r="82" spans="1:22">
      <c r="A82" s="69"/>
      <c r="B82" s="238"/>
      <c r="C82" s="238"/>
      <c r="D82" s="238"/>
      <c r="E82" s="238"/>
      <c r="F82" s="238"/>
      <c r="G82" s="238"/>
      <c r="H82" s="238"/>
      <c r="I82" s="238"/>
      <c r="J82" s="238"/>
      <c r="K82" s="238"/>
      <c r="L82" s="238"/>
      <c r="M82" s="238"/>
      <c r="N82" s="238"/>
      <c r="O82" s="238"/>
      <c r="P82" s="238"/>
      <c r="Q82" s="238"/>
      <c r="R82" s="238"/>
      <c r="S82" s="238"/>
      <c r="T82" s="238"/>
      <c r="U82" s="238"/>
      <c r="V82" s="238"/>
    </row>
    <row r="83" spans="1:22">
      <c r="A83" s="69"/>
      <c r="B83" s="92"/>
      <c r="C83" s="96"/>
      <c r="D83" s="96"/>
      <c r="E83" s="96"/>
      <c r="F83" s="96"/>
      <c r="G83" s="96"/>
      <c r="H83" s="96"/>
      <c r="I83" s="96"/>
      <c r="J83" s="96"/>
      <c r="K83" s="96"/>
      <c r="L83" s="96"/>
      <c r="M83" s="96"/>
      <c r="N83" s="96"/>
      <c r="O83" s="96"/>
      <c r="P83" s="96"/>
      <c r="Q83" s="96"/>
      <c r="R83" s="96"/>
      <c r="S83" s="96"/>
      <c r="T83" s="96"/>
      <c r="U83" s="96"/>
      <c r="V83" s="96"/>
    </row>
    <row r="84" spans="1:22">
      <c r="A84" s="69"/>
      <c r="B84" s="95" t="s">
        <v>140</v>
      </c>
      <c r="C84" s="92"/>
      <c r="D84" s="92"/>
      <c r="E84" s="92"/>
      <c r="F84" s="92"/>
      <c r="G84" s="92"/>
      <c r="H84" s="92"/>
      <c r="I84" s="92"/>
      <c r="J84" s="92"/>
      <c r="K84" s="92"/>
      <c r="L84" s="92"/>
      <c r="M84" s="92"/>
      <c r="N84" s="92"/>
      <c r="O84" s="92"/>
      <c r="P84" s="92"/>
      <c r="Q84" s="92"/>
      <c r="R84" s="92"/>
      <c r="S84" s="92"/>
      <c r="T84" s="92"/>
      <c r="U84" s="92"/>
      <c r="V84" s="92"/>
    </row>
    <row r="85" spans="1:22">
      <c r="A85" s="69"/>
      <c r="B85" s="238" t="s">
        <v>141</v>
      </c>
      <c r="C85" s="238"/>
      <c r="D85" s="238"/>
      <c r="E85" s="238"/>
      <c r="F85" s="238"/>
      <c r="G85" s="238"/>
      <c r="H85" s="238"/>
      <c r="I85" s="238"/>
      <c r="J85" s="238"/>
      <c r="K85" s="238"/>
      <c r="L85" s="238"/>
      <c r="M85" s="238"/>
      <c r="N85" s="238"/>
      <c r="O85" s="238"/>
      <c r="P85" s="238"/>
      <c r="Q85" s="238"/>
      <c r="R85" s="238"/>
      <c r="S85" s="238"/>
      <c r="T85" s="238"/>
      <c r="U85" s="238"/>
      <c r="V85" s="238"/>
    </row>
    <row r="86" spans="1:22">
      <c r="A86" s="69"/>
      <c r="B86" s="238"/>
      <c r="C86" s="238"/>
      <c r="D86" s="238"/>
      <c r="E86" s="238"/>
      <c r="F86" s="238"/>
      <c r="G86" s="238"/>
      <c r="H86" s="238"/>
      <c r="I86" s="238"/>
      <c r="J86" s="238"/>
      <c r="K86" s="238"/>
      <c r="L86" s="238"/>
      <c r="M86" s="238"/>
      <c r="N86" s="238"/>
      <c r="O86" s="238"/>
      <c r="P86" s="238"/>
      <c r="Q86" s="238"/>
      <c r="R86" s="238"/>
      <c r="S86" s="238"/>
      <c r="T86" s="238"/>
      <c r="U86" s="238"/>
      <c r="V86" s="238"/>
    </row>
    <row r="87" spans="1:22">
      <c r="A87" s="69"/>
      <c r="B87" s="238"/>
      <c r="C87" s="238"/>
      <c r="D87" s="238"/>
      <c r="E87" s="238"/>
      <c r="F87" s="238"/>
      <c r="G87" s="238"/>
      <c r="H87" s="238"/>
      <c r="I87" s="238"/>
      <c r="J87" s="238"/>
      <c r="K87" s="238"/>
      <c r="L87" s="238"/>
      <c r="M87" s="238"/>
      <c r="N87" s="238"/>
      <c r="O87" s="238"/>
      <c r="P87" s="238"/>
      <c r="Q87" s="238"/>
      <c r="R87" s="238"/>
      <c r="S87" s="238"/>
      <c r="T87" s="238"/>
      <c r="U87" s="238"/>
      <c r="V87" s="238"/>
    </row>
    <row r="88" spans="1:22">
      <c r="A88" s="69"/>
      <c r="B88" s="238"/>
      <c r="C88" s="238"/>
      <c r="D88" s="238"/>
      <c r="E88" s="238"/>
      <c r="F88" s="238"/>
      <c r="G88" s="238"/>
      <c r="H88" s="238"/>
      <c r="I88" s="238"/>
      <c r="J88" s="238"/>
      <c r="K88" s="238"/>
      <c r="L88" s="238"/>
      <c r="M88" s="238"/>
      <c r="N88" s="238"/>
      <c r="O88" s="238"/>
      <c r="P88" s="238"/>
      <c r="Q88" s="238"/>
      <c r="R88" s="238"/>
      <c r="S88" s="238"/>
      <c r="T88" s="238"/>
      <c r="U88" s="238"/>
      <c r="V88" s="238"/>
    </row>
    <row r="89" spans="1:22">
      <c r="A89" s="69"/>
      <c r="B89" s="238"/>
      <c r="C89" s="238"/>
      <c r="D89" s="238"/>
      <c r="E89" s="238"/>
      <c r="F89" s="238"/>
      <c r="G89" s="238"/>
      <c r="H89" s="238"/>
      <c r="I89" s="238"/>
      <c r="J89" s="238"/>
      <c r="K89" s="238"/>
      <c r="L89" s="238"/>
      <c r="M89" s="238"/>
      <c r="N89" s="238"/>
      <c r="O89" s="238"/>
      <c r="P89" s="238"/>
      <c r="Q89" s="238"/>
      <c r="R89" s="238"/>
      <c r="S89" s="238"/>
      <c r="T89" s="238"/>
      <c r="U89" s="238"/>
      <c r="V89" s="238"/>
    </row>
    <row r="90" spans="1:22">
      <c r="A90" s="69"/>
      <c r="B90" s="92"/>
      <c r="C90" s="92"/>
      <c r="D90" s="92"/>
      <c r="E90" s="92"/>
      <c r="F90" s="92"/>
      <c r="G90" s="92"/>
      <c r="H90" s="92"/>
      <c r="I90" s="92"/>
      <c r="J90" s="92"/>
      <c r="K90" s="92"/>
      <c r="L90" s="92"/>
      <c r="M90" s="92"/>
      <c r="N90" s="92"/>
      <c r="O90" s="92"/>
      <c r="P90" s="92"/>
      <c r="Q90" s="92"/>
      <c r="R90" s="92"/>
      <c r="S90" s="92"/>
      <c r="T90" s="92"/>
      <c r="U90" s="92"/>
      <c r="V90" s="92"/>
    </row>
    <row r="91" spans="1:22">
      <c r="A91" s="69"/>
      <c r="B91" s="95" t="s">
        <v>142</v>
      </c>
      <c r="C91" s="92"/>
      <c r="D91" s="92"/>
      <c r="E91" s="92"/>
      <c r="F91" s="92"/>
      <c r="G91" s="92"/>
      <c r="H91" s="92"/>
      <c r="I91" s="92"/>
      <c r="J91" s="92"/>
      <c r="K91" s="92"/>
      <c r="L91" s="92"/>
      <c r="M91" s="92"/>
      <c r="N91" s="92"/>
      <c r="O91" s="92"/>
      <c r="P91" s="92"/>
      <c r="Q91" s="92"/>
      <c r="R91" s="92"/>
      <c r="S91" s="92"/>
      <c r="T91" s="92"/>
      <c r="U91" s="92"/>
      <c r="V91" s="92"/>
    </row>
    <row r="92" spans="1:22">
      <c r="A92" s="69"/>
      <c r="B92" s="238" t="s">
        <v>143</v>
      </c>
      <c r="C92" s="238"/>
      <c r="D92" s="238"/>
      <c r="E92" s="238"/>
      <c r="F92" s="238"/>
      <c r="G92" s="238"/>
      <c r="H92" s="238"/>
      <c r="I92" s="238"/>
      <c r="J92" s="238"/>
      <c r="K92" s="238"/>
      <c r="L92" s="238"/>
      <c r="M92" s="238"/>
      <c r="N92" s="238"/>
      <c r="O92" s="238"/>
      <c r="P92" s="238"/>
      <c r="Q92" s="238"/>
      <c r="R92" s="238"/>
      <c r="S92" s="238"/>
      <c r="T92" s="238"/>
      <c r="U92" s="238"/>
      <c r="V92" s="238"/>
    </row>
    <row r="93" spans="1:22">
      <c r="A93" s="69"/>
      <c r="B93" s="238"/>
      <c r="C93" s="238"/>
      <c r="D93" s="238"/>
      <c r="E93" s="238"/>
      <c r="F93" s="238"/>
      <c r="G93" s="238"/>
      <c r="H93" s="238"/>
      <c r="I93" s="238"/>
      <c r="J93" s="238"/>
      <c r="K93" s="238"/>
      <c r="L93" s="238"/>
      <c r="M93" s="238"/>
      <c r="N93" s="238"/>
      <c r="O93" s="238"/>
      <c r="P93" s="238"/>
      <c r="Q93" s="238"/>
      <c r="R93" s="238"/>
      <c r="S93" s="238"/>
      <c r="T93" s="238"/>
      <c r="U93" s="238"/>
      <c r="V93" s="238"/>
    </row>
    <row r="94" spans="1:22">
      <c r="A94" s="69"/>
      <c r="B94" s="238"/>
      <c r="C94" s="238"/>
      <c r="D94" s="238"/>
      <c r="E94" s="238"/>
      <c r="F94" s="238"/>
      <c r="G94" s="238"/>
      <c r="H94" s="238"/>
      <c r="I94" s="238"/>
      <c r="J94" s="238"/>
      <c r="K94" s="238"/>
      <c r="L94" s="238"/>
      <c r="M94" s="238"/>
      <c r="N94" s="238"/>
      <c r="O94" s="238"/>
      <c r="P94" s="238"/>
      <c r="Q94" s="238"/>
      <c r="R94" s="238"/>
      <c r="S94" s="238"/>
      <c r="T94" s="238"/>
      <c r="U94" s="238"/>
      <c r="V94" s="238"/>
    </row>
    <row r="95" spans="1:22">
      <c r="A95" s="69"/>
      <c r="B95" s="238"/>
      <c r="C95" s="238"/>
      <c r="D95" s="238"/>
      <c r="E95" s="238"/>
      <c r="F95" s="238"/>
      <c r="G95" s="238"/>
      <c r="H95" s="238"/>
      <c r="I95" s="238"/>
      <c r="J95" s="238"/>
      <c r="K95" s="238"/>
      <c r="L95" s="238"/>
      <c r="M95" s="238"/>
      <c r="N95" s="238"/>
      <c r="O95" s="238"/>
      <c r="P95" s="238"/>
      <c r="Q95" s="238"/>
      <c r="R95" s="238"/>
      <c r="S95" s="238"/>
      <c r="T95" s="238"/>
      <c r="U95" s="238"/>
      <c r="V95" s="238"/>
    </row>
    <row r="96" spans="1:22">
      <c r="A96" s="69"/>
      <c r="B96" s="238"/>
      <c r="C96" s="238"/>
      <c r="D96" s="238"/>
      <c r="E96" s="238"/>
      <c r="F96" s="238"/>
      <c r="G96" s="238"/>
      <c r="H96" s="238"/>
      <c r="I96" s="238"/>
      <c r="J96" s="238"/>
      <c r="K96" s="238"/>
      <c r="L96" s="238"/>
      <c r="M96" s="238"/>
      <c r="N96" s="238"/>
      <c r="O96" s="238"/>
      <c r="P96" s="238"/>
      <c r="Q96" s="238"/>
      <c r="R96" s="238"/>
      <c r="S96" s="238"/>
      <c r="T96" s="238"/>
      <c r="U96" s="238"/>
      <c r="V96" s="238"/>
    </row>
    <row r="97" spans="1:22">
      <c r="A97" s="69"/>
      <c r="B97" s="72"/>
      <c r="C97" s="72"/>
      <c r="D97" s="72"/>
      <c r="E97" s="72"/>
      <c r="F97" s="72"/>
      <c r="G97" s="72"/>
      <c r="H97" s="72"/>
      <c r="I97" s="72"/>
      <c r="J97" s="72"/>
      <c r="K97" s="72"/>
      <c r="L97" s="72"/>
      <c r="M97" s="72"/>
      <c r="N97" s="72"/>
      <c r="O97" s="72"/>
      <c r="P97" s="72"/>
      <c r="Q97" s="72"/>
      <c r="R97" s="72"/>
      <c r="S97" s="72"/>
      <c r="T97" s="72"/>
      <c r="U97" s="72"/>
      <c r="V97" s="72"/>
    </row>
    <row r="98" spans="1:22" ht="15.75">
      <c r="A98" s="69"/>
      <c r="B98" s="94" t="s">
        <v>144</v>
      </c>
      <c r="C98" s="92"/>
      <c r="D98" s="92"/>
      <c r="E98" s="92"/>
      <c r="F98" s="92"/>
      <c r="G98" s="92"/>
      <c r="H98" s="92"/>
      <c r="I98" s="92"/>
      <c r="J98" s="92"/>
      <c r="K98" s="92"/>
      <c r="L98" s="92"/>
      <c r="M98" s="92"/>
      <c r="N98" s="92"/>
      <c r="O98" s="92"/>
      <c r="P98" s="92"/>
      <c r="Q98" s="92"/>
      <c r="R98" s="92"/>
      <c r="S98" s="92"/>
      <c r="T98" s="92"/>
      <c r="U98" s="92"/>
      <c r="V98" s="92"/>
    </row>
    <row r="99" spans="1:22">
      <c r="A99" s="69"/>
      <c r="B99" s="92" t="s">
        <v>145</v>
      </c>
      <c r="C99" s="92"/>
      <c r="D99" s="92"/>
      <c r="E99" s="92"/>
      <c r="F99" s="92"/>
      <c r="G99" s="92"/>
      <c r="H99" s="92"/>
      <c r="I99" s="92"/>
      <c r="J99" s="92"/>
      <c r="K99" s="92"/>
      <c r="L99" s="92"/>
      <c r="M99" s="92"/>
      <c r="N99" s="92"/>
      <c r="O99" s="92"/>
      <c r="P99" s="92"/>
      <c r="Q99" s="92"/>
      <c r="R99" s="92"/>
      <c r="S99" s="92"/>
      <c r="T99" s="92"/>
      <c r="U99" s="92"/>
      <c r="V99" s="92"/>
    </row>
    <row r="100" spans="1:22">
      <c r="A100" s="69"/>
      <c r="B100" s="92" t="s">
        <v>146</v>
      </c>
      <c r="C100" s="92"/>
      <c r="D100" s="92"/>
      <c r="E100" s="92"/>
      <c r="F100" s="92"/>
      <c r="G100" s="92"/>
      <c r="H100" s="92"/>
      <c r="I100" s="92"/>
      <c r="J100" s="92"/>
      <c r="K100" s="92"/>
      <c r="L100" s="92"/>
      <c r="M100" s="92"/>
      <c r="N100" s="92"/>
      <c r="O100" s="92"/>
      <c r="P100" s="92"/>
      <c r="Q100" s="92"/>
      <c r="R100" s="92"/>
      <c r="S100" s="92"/>
      <c r="T100" s="92"/>
      <c r="U100" s="92"/>
      <c r="V100" s="92"/>
    </row>
    <row r="101" spans="1:22">
      <c r="A101" s="69"/>
      <c r="B101" s="92" t="s">
        <v>147</v>
      </c>
      <c r="C101" s="92"/>
      <c r="D101" s="92"/>
      <c r="E101" s="92"/>
      <c r="F101" s="92"/>
      <c r="G101" s="92"/>
      <c r="H101" s="92"/>
      <c r="I101" s="92"/>
      <c r="J101" s="92"/>
      <c r="K101" s="92"/>
      <c r="L101" s="92"/>
      <c r="M101" s="92"/>
      <c r="N101" s="92"/>
      <c r="O101" s="92"/>
      <c r="P101" s="92"/>
      <c r="Q101" s="92"/>
      <c r="R101" s="92"/>
      <c r="S101" s="92"/>
      <c r="T101" s="92"/>
      <c r="U101" s="92"/>
      <c r="V101" s="92"/>
    </row>
    <row r="102" spans="1:22">
      <c r="A102" s="69"/>
      <c r="B102" s="92" t="s">
        <v>148</v>
      </c>
      <c r="C102" s="92"/>
      <c r="D102" s="92"/>
      <c r="E102" s="92"/>
      <c r="F102" s="92"/>
      <c r="G102" s="92"/>
      <c r="H102" s="92"/>
      <c r="I102" s="92"/>
      <c r="J102" s="92"/>
      <c r="K102" s="92"/>
      <c r="L102" s="92"/>
      <c r="M102" s="92"/>
      <c r="N102" s="92"/>
      <c r="O102" s="92"/>
      <c r="P102" s="92"/>
      <c r="Q102" s="92"/>
      <c r="R102" s="92"/>
      <c r="S102" s="92"/>
      <c r="T102" s="92"/>
      <c r="U102" s="92"/>
      <c r="V102" s="92"/>
    </row>
    <row r="103" spans="1:22">
      <c r="A103" s="69"/>
      <c r="B103" s="92" t="s">
        <v>149</v>
      </c>
      <c r="C103" s="92"/>
      <c r="D103" s="92"/>
      <c r="E103" s="92"/>
      <c r="F103" s="92"/>
      <c r="G103" s="92"/>
      <c r="H103" s="92"/>
      <c r="I103" s="92"/>
      <c r="J103" s="92"/>
      <c r="K103" s="92"/>
      <c r="L103" s="92"/>
      <c r="M103" s="92"/>
      <c r="N103" s="92"/>
      <c r="O103" s="92"/>
      <c r="P103" s="92"/>
      <c r="Q103" s="92"/>
      <c r="R103" s="92"/>
      <c r="S103" s="92"/>
      <c r="T103" s="92"/>
      <c r="U103" s="92"/>
      <c r="V103" s="92"/>
    </row>
    <row r="104" spans="1:22">
      <c r="A104" s="69"/>
      <c r="B104" s="92" t="s">
        <v>150</v>
      </c>
      <c r="C104" s="92"/>
      <c r="D104" s="92"/>
      <c r="E104" s="92"/>
      <c r="F104" s="92"/>
      <c r="G104" s="92"/>
      <c r="H104" s="92"/>
      <c r="I104" s="92"/>
      <c r="J104" s="92"/>
      <c r="K104" s="92"/>
      <c r="L104" s="92"/>
      <c r="M104" s="92"/>
      <c r="N104" s="92"/>
      <c r="O104" s="92"/>
      <c r="P104" s="92"/>
      <c r="Q104" s="92"/>
      <c r="R104" s="92"/>
      <c r="S104" s="92"/>
      <c r="T104" s="92"/>
      <c r="U104" s="92"/>
      <c r="V104" s="92"/>
    </row>
    <row r="105" spans="1:22">
      <c r="A105" s="69"/>
      <c r="B105" s="92" t="s">
        <v>151</v>
      </c>
      <c r="C105" s="92"/>
      <c r="D105" s="92"/>
      <c r="E105" s="92"/>
      <c r="F105" s="92"/>
      <c r="G105" s="92"/>
      <c r="H105" s="92"/>
      <c r="I105" s="92"/>
      <c r="J105" s="92"/>
      <c r="K105" s="92"/>
      <c r="L105" s="92"/>
      <c r="M105" s="92"/>
      <c r="N105" s="92"/>
      <c r="O105" s="92"/>
      <c r="P105" s="92"/>
      <c r="Q105" s="92"/>
      <c r="R105" s="92"/>
      <c r="S105" s="92"/>
      <c r="T105" s="92"/>
      <c r="U105" s="92"/>
      <c r="V105" s="92"/>
    </row>
    <row r="106" spans="1:22">
      <c r="A106" s="69"/>
      <c r="B106" s="92"/>
      <c r="C106" s="92"/>
      <c r="D106" s="92"/>
      <c r="E106" s="92"/>
      <c r="F106" s="92"/>
      <c r="G106" s="92"/>
      <c r="H106" s="92"/>
      <c r="I106" s="92"/>
      <c r="J106" s="92"/>
      <c r="K106" s="92"/>
      <c r="L106" s="92"/>
      <c r="M106" s="92"/>
      <c r="N106" s="92"/>
      <c r="O106" s="92"/>
      <c r="P106" s="92"/>
      <c r="Q106" s="92"/>
      <c r="R106" s="92"/>
      <c r="S106" s="92"/>
      <c r="T106" s="92"/>
      <c r="U106" s="92"/>
      <c r="V106" s="92"/>
    </row>
    <row r="107" spans="1:22" ht="15.75">
      <c r="A107" s="69"/>
      <c r="B107" s="94" t="s">
        <v>152</v>
      </c>
      <c r="C107" s="92"/>
      <c r="D107" s="92"/>
      <c r="E107" s="92"/>
      <c r="F107" s="92"/>
      <c r="G107" s="92"/>
      <c r="H107" s="92"/>
      <c r="I107" s="92"/>
      <c r="J107" s="92"/>
      <c r="K107" s="92"/>
      <c r="L107" s="92"/>
      <c r="M107" s="92"/>
      <c r="N107" s="92"/>
      <c r="O107" s="92"/>
      <c r="P107" s="92"/>
      <c r="Q107" s="92"/>
      <c r="R107" s="92"/>
      <c r="S107" s="92"/>
      <c r="T107" s="92"/>
      <c r="U107" s="92"/>
      <c r="V107" s="92"/>
    </row>
    <row r="108" spans="1:22">
      <c r="A108" s="69"/>
      <c r="B108" s="92" t="s">
        <v>153</v>
      </c>
      <c r="C108" s="92"/>
      <c r="D108" s="92"/>
      <c r="E108" s="92"/>
      <c r="F108" s="92"/>
      <c r="G108" s="92"/>
      <c r="H108" s="92"/>
      <c r="I108" s="92"/>
      <c r="J108" s="92"/>
      <c r="K108" s="92"/>
      <c r="L108" s="92"/>
      <c r="M108" s="92"/>
      <c r="N108" s="92"/>
      <c r="O108" s="92"/>
      <c r="P108" s="92"/>
      <c r="Q108" s="92"/>
      <c r="R108" s="92"/>
      <c r="S108" s="92"/>
      <c r="T108" s="92"/>
      <c r="U108" s="92"/>
      <c r="V108" s="92"/>
    </row>
    <row r="109" spans="1:22">
      <c r="A109" s="69"/>
      <c r="B109" s="92" t="s">
        <v>154</v>
      </c>
      <c r="C109" s="92"/>
      <c r="D109" s="92"/>
      <c r="E109" s="92"/>
      <c r="F109" s="92"/>
      <c r="G109" s="92"/>
      <c r="H109" s="92"/>
      <c r="I109" s="92"/>
      <c r="J109" s="92"/>
      <c r="K109" s="92"/>
      <c r="L109" s="92"/>
      <c r="M109" s="92"/>
      <c r="N109" s="92"/>
      <c r="O109" s="92"/>
      <c r="P109" s="92"/>
      <c r="Q109" s="92"/>
      <c r="R109" s="92"/>
      <c r="S109" s="92"/>
      <c r="T109" s="92"/>
      <c r="U109" s="92"/>
      <c r="V109" s="92"/>
    </row>
    <row r="110" spans="1:22">
      <c r="A110" s="69"/>
      <c r="B110" s="92" t="s">
        <v>155</v>
      </c>
      <c r="C110" s="92"/>
      <c r="D110" s="92"/>
      <c r="E110" s="92"/>
      <c r="F110" s="92"/>
      <c r="G110" s="92"/>
      <c r="H110" s="92"/>
      <c r="I110" s="92"/>
      <c r="J110" s="92"/>
      <c r="K110" s="92"/>
      <c r="L110" s="92"/>
      <c r="M110" s="92"/>
      <c r="N110" s="92"/>
      <c r="O110" s="92"/>
      <c r="P110" s="92"/>
      <c r="Q110" s="92"/>
      <c r="R110" s="92"/>
      <c r="S110" s="92"/>
      <c r="T110" s="92"/>
      <c r="U110" s="92"/>
      <c r="V110" s="92"/>
    </row>
    <row r="111" spans="1:22">
      <c r="A111" s="69"/>
      <c r="B111" s="92" t="s">
        <v>156</v>
      </c>
      <c r="C111" s="92"/>
      <c r="D111" s="92"/>
      <c r="E111" s="92"/>
      <c r="F111" s="92"/>
      <c r="G111" s="92"/>
      <c r="H111" s="92"/>
      <c r="I111" s="92"/>
      <c r="J111" s="92"/>
      <c r="K111" s="92"/>
      <c r="L111" s="92"/>
      <c r="M111" s="92"/>
      <c r="N111" s="92"/>
      <c r="O111" s="92"/>
      <c r="P111" s="92"/>
      <c r="Q111" s="92"/>
      <c r="R111" s="92"/>
      <c r="S111" s="92"/>
      <c r="T111" s="92"/>
      <c r="U111" s="92"/>
      <c r="V111" s="92"/>
    </row>
    <row r="112" spans="1:22">
      <c r="A112" s="69"/>
      <c r="B112" s="92"/>
      <c r="C112" s="92"/>
      <c r="D112" s="92"/>
      <c r="E112" s="92"/>
      <c r="F112" s="92"/>
      <c r="G112" s="92"/>
      <c r="H112" s="92"/>
      <c r="I112" s="92"/>
      <c r="J112" s="92"/>
      <c r="K112" s="92"/>
      <c r="L112" s="92"/>
      <c r="M112" s="92"/>
      <c r="N112" s="92"/>
      <c r="O112" s="92"/>
      <c r="P112" s="92"/>
      <c r="Q112" s="92"/>
      <c r="R112" s="92"/>
      <c r="S112" s="92"/>
      <c r="T112" s="92"/>
      <c r="U112" s="92"/>
      <c r="V112" s="92"/>
    </row>
    <row r="113" spans="1:22">
      <c r="A113" s="69"/>
      <c r="B113" s="241" t="s">
        <v>157</v>
      </c>
      <c r="C113" s="242"/>
      <c r="D113" s="242"/>
      <c r="E113" s="242"/>
      <c r="F113" s="242"/>
      <c r="G113" s="242"/>
      <c r="H113" s="242"/>
      <c r="I113" s="242"/>
      <c r="J113" s="242"/>
      <c r="K113" s="242"/>
      <c r="L113" s="242"/>
      <c r="M113" s="242"/>
      <c r="N113" s="242"/>
      <c r="O113" s="242"/>
      <c r="P113" s="242"/>
      <c r="Q113" s="242"/>
      <c r="R113" s="242"/>
      <c r="S113" s="242"/>
      <c r="T113" s="242"/>
      <c r="U113" s="242"/>
      <c r="V113" s="242"/>
    </row>
    <row r="114" spans="1:22">
      <c r="A114" s="69"/>
      <c r="B114" s="242"/>
      <c r="C114" s="242"/>
      <c r="D114" s="242"/>
      <c r="E114" s="242"/>
      <c r="F114" s="242"/>
      <c r="G114" s="242"/>
      <c r="H114" s="242"/>
      <c r="I114" s="242"/>
      <c r="J114" s="242"/>
      <c r="K114" s="242"/>
      <c r="L114" s="242"/>
      <c r="M114" s="242"/>
      <c r="N114" s="242"/>
      <c r="O114" s="242"/>
      <c r="P114" s="242"/>
      <c r="Q114" s="242"/>
      <c r="R114" s="242"/>
      <c r="S114" s="242"/>
      <c r="T114" s="242"/>
      <c r="U114" s="242"/>
      <c r="V114" s="242"/>
    </row>
    <row r="115" spans="1:22">
      <c r="A115" s="69"/>
      <c r="B115" s="242"/>
      <c r="C115" s="242"/>
      <c r="D115" s="242"/>
      <c r="E115" s="242"/>
      <c r="F115" s="242"/>
      <c r="G115" s="242"/>
      <c r="H115" s="242"/>
      <c r="I115" s="242"/>
      <c r="J115" s="242"/>
      <c r="K115" s="242"/>
      <c r="L115" s="242"/>
      <c r="M115" s="242"/>
      <c r="N115" s="242"/>
      <c r="O115" s="242"/>
      <c r="P115" s="242"/>
      <c r="Q115" s="242"/>
      <c r="R115" s="242"/>
      <c r="S115" s="242"/>
      <c r="T115" s="242"/>
      <c r="U115" s="242"/>
      <c r="V115" s="242"/>
    </row>
    <row r="116" spans="1:22">
      <c r="A116" s="69"/>
      <c r="B116" s="242"/>
      <c r="C116" s="242"/>
      <c r="D116" s="242"/>
      <c r="E116" s="242"/>
      <c r="F116" s="242"/>
      <c r="G116" s="242"/>
      <c r="H116" s="242"/>
      <c r="I116" s="242"/>
      <c r="J116" s="242"/>
      <c r="K116" s="242"/>
      <c r="L116" s="242"/>
      <c r="M116" s="242"/>
      <c r="N116" s="242"/>
      <c r="O116" s="242"/>
      <c r="P116" s="242"/>
      <c r="Q116" s="242"/>
      <c r="R116" s="242"/>
      <c r="S116" s="242"/>
      <c r="T116" s="242"/>
      <c r="U116" s="242"/>
      <c r="V116" s="242"/>
    </row>
    <row r="117" spans="1:22">
      <c r="A117" s="69"/>
      <c r="B117" s="242"/>
      <c r="C117" s="242"/>
      <c r="D117" s="242"/>
      <c r="E117" s="242"/>
      <c r="F117" s="242"/>
      <c r="G117" s="242"/>
      <c r="H117" s="242"/>
      <c r="I117" s="242"/>
      <c r="J117" s="242"/>
      <c r="K117" s="242"/>
      <c r="L117" s="242"/>
      <c r="M117" s="242"/>
      <c r="N117" s="242"/>
      <c r="O117" s="242"/>
      <c r="P117" s="242"/>
      <c r="Q117" s="242"/>
      <c r="R117" s="242"/>
      <c r="S117" s="242"/>
      <c r="T117" s="242"/>
      <c r="U117" s="242"/>
      <c r="V117" s="242"/>
    </row>
  </sheetData>
  <mergeCells count="29">
    <mergeCell ref="B71:V75"/>
    <mergeCell ref="B78:V82"/>
    <mergeCell ref="B85:V89"/>
    <mergeCell ref="B92:V96"/>
    <mergeCell ref="B113:V117"/>
    <mergeCell ref="B65:V68"/>
    <mergeCell ref="M11:N11"/>
    <mergeCell ref="R11:S11"/>
    <mergeCell ref="M12:N12"/>
    <mergeCell ref="R12:S12"/>
    <mergeCell ref="M13:N13"/>
    <mergeCell ref="R13:S13"/>
    <mergeCell ref="D14:G14"/>
    <mergeCell ref="I14:L14"/>
    <mergeCell ref="N14:Q14"/>
    <mergeCell ref="S14:V14"/>
    <mergeCell ref="B54:V59"/>
    <mergeCell ref="M7:N7"/>
    <mergeCell ref="R7:S7"/>
    <mergeCell ref="M9:N9"/>
    <mergeCell ref="R9:S9"/>
    <mergeCell ref="M10:N10"/>
    <mergeCell ref="R10:S10"/>
    <mergeCell ref="B6:G6"/>
    <mergeCell ref="B1:C1"/>
    <mergeCell ref="H1:I1"/>
    <mergeCell ref="M1:N1"/>
    <mergeCell ref="R1:S1"/>
    <mergeCell ref="B3:V5"/>
  </mergeCells>
  <hyperlinks>
    <hyperlink ref="B6" r:id="rId1" xr:uid="{124CF758-A2D6-4E78-AF59-07D7F253BE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468B-1B32-4C5A-9DD2-9ED619971EC3}">
  <sheetPr>
    <tabColor rgb="FF000000"/>
  </sheetPr>
  <dimension ref="A1:AF65"/>
  <sheetViews>
    <sheetView topLeftCell="P10" workbookViewId="0">
      <selection activeCell="Q11" sqref="Q11"/>
    </sheetView>
  </sheetViews>
  <sheetFormatPr defaultRowHeight="15"/>
  <cols>
    <col min="4" max="6" width="9.28515625" bestFit="1" customWidth="1"/>
    <col min="8" max="10" width="9.28515625" bestFit="1" customWidth="1"/>
    <col min="12" max="14" width="9.28515625" bestFit="1" customWidth="1"/>
    <col min="21" max="22" width="9.28515625" bestFit="1" customWidth="1"/>
    <col min="23" max="23" width="10.7109375" customWidth="1"/>
  </cols>
  <sheetData>
    <row r="1" spans="1:32">
      <c r="A1" s="16"/>
      <c r="B1" s="16"/>
      <c r="C1" s="16"/>
      <c r="D1" s="16"/>
      <c r="E1" s="19"/>
      <c r="F1" s="16"/>
      <c r="G1" s="16"/>
      <c r="H1" s="16"/>
      <c r="I1" s="16"/>
      <c r="J1" s="16"/>
      <c r="K1" s="16"/>
      <c r="L1" s="16"/>
      <c r="M1" s="16"/>
      <c r="N1" s="16"/>
      <c r="O1" s="16"/>
      <c r="P1" s="16"/>
      <c r="Q1" s="16"/>
      <c r="R1" s="16"/>
      <c r="S1" s="16"/>
      <c r="T1" s="16"/>
      <c r="U1" s="16"/>
      <c r="V1" s="16"/>
      <c r="W1" s="16"/>
      <c r="X1" s="16"/>
      <c r="Y1" s="16"/>
      <c r="Z1" s="16"/>
      <c r="AA1" s="16"/>
      <c r="AB1" s="16"/>
      <c r="AC1" s="16"/>
      <c r="AD1" s="16"/>
      <c r="AE1" s="16"/>
      <c r="AF1" s="16"/>
    </row>
    <row r="2" spans="1:32">
      <c r="A2" s="16"/>
      <c r="B2" s="16"/>
      <c r="C2" s="16"/>
      <c r="D2" s="16"/>
      <c r="E2" s="19" t="s">
        <v>158</v>
      </c>
      <c r="F2" s="16"/>
      <c r="G2" s="16"/>
      <c r="H2" s="16"/>
      <c r="I2" s="16"/>
      <c r="J2" s="16"/>
      <c r="K2" s="16"/>
      <c r="L2" s="16"/>
      <c r="M2" s="16"/>
      <c r="N2" s="16"/>
      <c r="O2" s="16"/>
      <c r="P2" s="16"/>
      <c r="Q2" s="16"/>
      <c r="R2" s="16"/>
      <c r="S2" s="16"/>
      <c r="T2" s="16"/>
      <c r="U2" s="16"/>
      <c r="V2" s="16"/>
      <c r="W2" s="20"/>
      <c r="X2" s="16"/>
      <c r="Y2" s="16"/>
      <c r="Z2" s="16"/>
      <c r="AA2" s="16"/>
      <c r="AB2" s="16"/>
      <c r="AC2" s="16"/>
      <c r="AD2" s="16"/>
      <c r="AE2" s="16"/>
      <c r="AF2" s="16"/>
    </row>
    <row r="3" spans="1:32">
      <c r="A3" s="16"/>
      <c r="B3" s="16"/>
      <c r="C3" s="16"/>
      <c r="D3" s="16"/>
      <c r="E3" s="16"/>
      <c r="F3" s="16"/>
      <c r="G3" s="16"/>
      <c r="H3" s="16"/>
      <c r="I3" s="16"/>
      <c r="J3" s="16"/>
      <c r="K3" s="16"/>
      <c r="L3" s="16"/>
      <c r="M3" s="16"/>
      <c r="N3" s="16"/>
      <c r="O3" s="16"/>
      <c r="P3" s="16"/>
      <c r="Q3" s="16"/>
      <c r="R3" s="16"/>
      <c r="S3" s="16"/>
      <c r="T3" s="21"/>
      <c r="U3" s="16"/>
      <c r="V3" s="16"/>
      <c r="W3" s="16"/>
      <c r="X3" s="16"/>
      <c r="Y3" s="16"/>
      <c r="Z3" s="16"/>
      <c r="AA3" s="16"/>
      <c r="AB3" s="16"/>
      <c r="AC3" s="16"/>
      <c r="AD3" s="16"/>
      <c r="AE3" s="16"/>
      <c r="AF3" s="16"/>
    </row>
    <row r="4" spans="1:32">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row>
    <row r="5" spans="1:32">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row>
    <row r="6" spans="1:32" ht="18.75">
      <c r="A6" s="16"/>
      <c r="B6" s="22" t="s">
        <v>159</v>
      </c>
      <c r="C6" s="22"/>
      <c r="D6" s="22"/>
      <c r="E6" s="22"/>
      <c r="F6" s="22"/>
      <c r="G6" s="22"/>
      <c r="H6" s="22"/>
      <c r="I6" s="22"/>
      <c r="J6" s="22"/>
      <c r="K6" s="22"/>
      <c r="L6" s="22"/>
      <c r="M6" s="22"/>
      <c r="N6" s="22"/>
      <c r="O6" s="22"/>
      <c r="P6" s="22"/>
      <c r="Q6" s="22"/>
      <c r="R6" s="22"/>
      <c r="S6" s="22"/>
      <c r="T6" s="22"/>
      <c r="U6" s="22"/>
      <c r="V6" s="22"/>
      <c r="W6" s="22"/>
      <c r="X6" s="22"/>
      <c r="Y6" s="16"/>
      <c r="Z6" s="23"/>
      <c r="AA6" s="24" t="s">
        <v>160</v>
      </c>
      <c r="AB6" s="25"/>
      <c r="AC6" s="25"/>
      <c r="AD6" s="25"/>
      <c r="AE6" s="23"/>
      <c r="AF6" s="16"/>
    </row>
    <row r="7" spans="1:32">
      <c r="A7" s="16"/>
      <c r="B7" s="17" t="s">
        <v>161</v>
      </c>
      <c r="C7" s="17"/>
      <c r="D7" s="17"/>
      <c r="E7" s="17"/>
      <c r="F7" s="17"/>
      <c r="G7" s="17"/>
      <c r="H7" s="17"/>
      <c r="I7" s="17"/>
      <c r="J7" s="17"/>
      <c r="K7" s="17"/>
      <c r="L7" s="17"/>
      <c r="M7" s="17"/>
      <c r="N7" s="17"/>
      <c r="O7" s="17"/>
      <c r="P7" s="17"/>
      <c r="Q7" s="17"/>
      <c r="R7" s="17"/>
      <c r="S7" s="17"/>
      <c r="T7" s="17"/>
      <c r="U7" s="17"/>
      <c r="V7" s="17"/>
      <c r="W7" s="17"/>
      <c r="X7" s="17"/>
      <c r="Y7" s="16"/>
      <c r="Z7" s="26"/>
      <c r="AA7" s="27" t="s">
        <v>162</v>
      </c>
      <c r="AB7" s="27"/>
      <c r="AC7" s="27"/>
      <c r="AD7" s="27"/>
      <c r="AE7" s="27"/>
      <c r="AF7" s="16"/>
    </row>
    <row r="8" spans="1:32">
      <c r="A8" s="16"/>
      <c r="B8" s="17" t="s">
        <v>163</v>
      </c>
      <c r="C8" s="17"/>
      <c r="D8" s="17"/>
      <c r="E8" s="17"/>
      <c r="F8" s="17"/>
      <c r="G8" s="17"/>
      <c r="H8" s="17"/>
      <c r="I8" s="17"/>
      <c r="J8" s="17"/>
      <c r="K8" s="17"/>
      <c r="L8" s="17"/>
      <c r="M8" s="17"/>
      <c r="N8" s="17"/>
      <c r="O8" s="17"/>
      <c r="P8" s="17"/>
      <c r="Q8" s="17"/>
      <c r="R8" s="17"/>
      <c r="S8" s="17"/>
      <c r="T8" s="17"/>
      <c r="U8" s="17"/>
      <c r="V8" s="17"/>
      <c r="W8" s="17"/>
      <c r="X8" s="17"/>
      <c r="Y8" s="16"/>
      <c r="Z8" s="26"/>
      <c r="AA8" s="27" t="s">
        <v>164</v>
      </c>
      <c r="AB8" s="27"/>
      <c r="AC8" s="27"/>
      <c r="AD8" s="27"/>
      <c r="AE8" s="27"/>
      <c r="AF8" s="16"/>
    </row>
    <row r="9" spans="1:32">
      <c r="A9" s="16"/>
      <c r="B9" s="16"/>
      <c r="C9" s="16"/>
      <c r="D9" s="16"/>
      <c r="E9" s="16"/>
      <c r="F9" s="16"/>
      <c r="G9" s="16"/>
      <c r="H9" s="16"/>
      <c r="I9" s="16"/>
      <c r="J9" s="16"/>
      <c r="K9" s="16"/>
      <c r="L9" s="16"/>
      <c r="M9" s="16"/>
      <c r="N9" s="16"/>
      <c r="O9" s="16"/>
      <c r="P9" s="16"/>
      <c r="Q9" s="16"/>
      <c r="R9" s="16"/>
      <c r="S9" s="16"/>
      <c r="T9" s="16"/>
      <c r="U9" s="16"/>
      <c r="V9" s="16"/>
      <c r="W9" s="16"/>
      <c r="X9" s="16"/>
      <c r="Y9" s="16"/>
      <c r="Z9" s="26"/>
      <c r="AA9" s="27" t="s">
        <v>165</v>
      </c>
      <c r="AB9" s="27"/>
      <c r="AC9" s="27"/>
      <c r="AD9" s="27"/>
      <c r="AE9" s="27"/>
      <c r="AF9" s="16"/>
    </row>
    <row r="10" spans="1:32">
      <c r="A10" s="16"/>
      <c r="B10" s="28" t="s">
        <v>166</v>
      </c>
      <c r="C10" s="29"/>
      <c r="D10" s="29"/>
      <c r="E10" s="30"/>
      <c r="F10" s="16"/>
      <c r="G10" s="16"/>
      <c r="H10" s="16"/>
      <c r="I10" s="16"/>
      <c r="J10" s="16"/>
      <c r="K10" s="16"/>
      <c r="L10" s="16"/>
      <c r="M10" s="16"/>
      <c r="N10" s="16"/>
      <c r="O10" s="16"/>
      <c r="P10" s="16"/>
      <c r="Q10" s="16"/>
      <c r="R10" s="17"/>
      <c r="S10" s="17"/>
      <c r="T10" s="17"/>
      <c r="U10" s="17"/>
      <c r="V10" s="17"/>
      <c r="W10" s="17"/>
      <c r="X10" s="17"/>
      <c r="Y10" s="16"/>
      <c r="Z10" s="26"/>
      <c r="AA10" s="31" t="s">
        <v>167</v>
      </c>
      <c r="AB10" s="32"/>
      <c r="AC10" s="32"/>
      <c r="AD10" s="32"/>
      <c r="AE10" s="32"/>
      <c r="AF10" s="16"/>
    </row>
    <row r="11" spans="1:32">
      <c r="A11" s="16"/>
      <c r="B11" s="33" t="s">
        <v>168</v>
      </c>
      <c r="C11" s="34"/>
      <c r="D11" s="35"/>
      <c r="E11" s="36"/>
      <c r="F11" s="16"/>
      <c r="G11" s="16"/>
      <c r="H11" s="16"/>
      <c r="I11" s="16"/>
      <c r="J11" s="16"/>
      <c r="K11" s="16"/>
      <c r="L11" s="16"/>
      <c r="M11" s="16"/>
      <c r="N11" s="16"/>
      <c r="O11" s="16"/>
      <c r="P11" s="16"/>
      <c r="Q11" s="16"/>
      <c r="R11" s="16"/>
      <c r="S11" s="16"/>
      <c r="T11" s="16"/>
      <c r="U11" s="16"/>
      <c r="V11" s="16"/>
      <c r="W11" s="16"/>
      <c r="X11" s="16"/>
      <c r="Y11" s="16"/>
      <c r="Z11" s="26"/>
      <c r="AA11" s="32" t="s">
        <v>169</v>
      </c>
      <c r="AB11" s="32"/>
      <c r="AC11" s="32"/>
      <c r="AD11" s="32"/>
      <c r="AE11" s="32"/>
      <c r="AF11" s="16"/>
    </row>
    <row r="12" spans="1:32">
      <c r="A12" s="16"/>
      <c r="B12" s="33" t="s">
        <v>170</v>
      </c>
      <c r="C12" s="34"/>
      <c r="D12" s="35"/>
      <c r="E12" s="36"/>
      <c r="F12" s="16"/>
      <c r="G12" s="16"/>
      <c r="H12" s="16"/>
      <c r="I12" s="16"/>
      <c r="J12" s="16"/>
      <c r="K12" s="16"/>
      <c r="L12" s="16"/>
      <c r="M12" s="16"/>
      <c r="N12" s="16"/>
      <c r="O12" s="16"/>
      <c r="P12" s="16"/>
      <c r="Q12" s="16"/>
      <c r="R12" s="16"/>
      <c r="S12" s="101"/>
      <c r="T12" s="102"/>
      <c r="U12" s="102"/>
      <c r="V12" s="102"/>
      <c r="W12" s="102"/>
      <c r="X12" s="103"/>
      <c r="Y12" s="16"/>
      <c r="Z12" s="26"/>
      <c r="AA12" s="32" t="s">
        <v>171</v>
      </c>
      <c r="AB12" s="32"/>
      <c r="AC12" s="32"/>
      <c r="AD12" s="32"/>
      <c r="AE12" s="32"/>
      <c r="AF12" s="16"/>
    </row>
    <row r="13" spans="1:32">
      <c r="A13" s="16"/>
      <c r="B13" s="37" t="s">
        <v>172</v>
      </c>
      <c r="C13" s="35"/>
      <c r="D13" s="38">
        <v>42</v>
      </c>
      <c r="E13" s="36"/>
      <c r="F13" s="16"/>
      <c r="G13" s="16"/>
      <c r="H13" s="16"/>
      <c r="I13" s="16"/>
      <c r="J13" s="16"/>
      <c r="K13" s="16"/>
      <c r="L13" s="16"/>
      <c r="M13" s="16"/>
      <c r="N13" s="16"/>
      <c r="O13" s="16"/>
      <c r="P13" s="16"/>
      <c r="Q13" s="16"/>
      <c r="R13" s="16"/>
      <c r="S13" s="104"/>
      <c r="T13" s="105" t="s">
        <v>173</v>
      </c>
      <c r="U13" s="105"/>
      <c r="V13" s="105"/>
      <c r="W13" s="105"/>
      <c r="X13" s="106"/>
      <c r="Y13" s="16"/>
      <c r="Z13" s="26"/>
      <c r="AA13" s="39"/>
      <c r="AB13" s="39"/>
      <c r="AC13" s="39"/>
      <c r="AD13" s="39"/>
      <c r="AE13" s="26"/>
      <c r="AF13" s="16"/>
    </row>
    <row r="14" spans="1:32">
      <c r="A14" s="16"/>
      <c r="B14" s="37" t="s">
        <v>174</v>
      </c>
      <c r="C14" s="35"/>
      <c r="D14" s="38">
        <v>2.2000000000000002</v>
      </c>
      <c r="E14" s="36"/>
      <c r="F14" s="16"/>
      <c r="G14" s="16"/>
      <c r="H14" s="16"/>
      <c r="I14" s="16"/>
      <c r="J14" s="16"/>
      <c r="K14" s="16"/>
      <c r="L14" s="16"/>
      <c r="M14" s="16"/>
      <c r="N14" s="16"/>
      <c r="O14" s="16"/>
      <c r="P14" s="16"/>
      <c r="Q14" s="16"/>
      <c r="R14" s="16"/>
      <c r="S14" s="104"/>
      <c r="T14" s="105" t="s">
        <v>175</v>
      </c>
      <c r="U14" s="105"/>
      <c r="V14" s="105"/>
      <c r="W14" s="105"/>
      <c r="X14" s="106"/>
      <c r="Y14" s="16"/>
      <c r="Z14" s="26"/>
      <c r="AA14" s="40" t="s">
        <v>176</v>
      </c>
      <c r="AB14" s="40"/>
      <c r="AC14" s="40"/>
      <c r="AD14" s="40"/>
      <c r="AE14" s="40"/>
      <c r="AF14" s="16"/>
    </row>
    <row r="15" spans="1:32">
      <c r="A15" s="16"/>
      <c r="B15" s="37" t="s">
        <v>177</v>
      </c>
      <c r="C15" s="35"/>
      <c r="D15" s="38">
        <v>1.2</v>
      </c>
      <c r="E15" s="36"/>
      <c r="F15" s="16"/>
      <c r="G15" s="16"/>
      <c r="H15" s="16"/>
      <c r="I15" s="16"/>
      <c r="J15" s="16"/>
      <c r="K15" s="16"/>
      <c r="L15" s="16"/>
      <c r="M15" s="16"/>
      <c r="N15" s="16"/>
      <c r="O15" s="16"/>
      <c r="P15" s="16"/>
      <c r="Q15" s="16"/>
      <c r="R15" s="16"/>
      <c r="S15" s="104"/>
      <c r="T15" s="105" t="s">
        <v>178</v>
      </c>
      <c r="U15" s="105"/>
      <c r="V15" s="105"/>
      <c r="W15" s="105"/>
      <c r="X15" s="106"/>
      <c r="Y15" s="16"/>
      <c r="Z15" s="26"/>
      <c r="AA15" s="40" t="s">
        <v>179</v>
      </c>
      <c r="AB15" s="40"/>
      <c r="AC15" s="40"/>
      <c r="AD15" s="40"/>
      <c r="AE15" s="40"/>
      <c r="AF15" s="16"/>
    </row>
    <row r="16" spans="1:32">
      <c r="A16" s="16"/>
      <c r="B16" s="41"/>
      <c r="C16" s="42"/>
      <c r="D16" s="42"/>
      <c r="E16" s="43"/>
      <c r="F16" s="16"/>
      <c r="G16" s="16"/>
      <c r="H16" s="16"/>
      <c r="I16" s="16"/>
      <c r="J16" s="16"/>
      <c r="K16" s="16"/>
      <c r="L16" s="16"/>
      <c r="M16" s="16"/>
      <c r="N16" s="16"/>
      <c r="O16" s="16"/>
      <c r="P16" s="16"/>
      <c r="Q16" s="16"/>
      <c r="R16" s="16"/>
      <c r="S16" s="104"/>
      <c r="T16" s="105" t="s">
        <v>180</v>
      </c>
      <c r="U16" s="107"/>
      <c r="V16" s="107"/>
      <c r="W16" s="107"/>
      <c r="X16" s="106"/>
      <c r="Y16" s="16"/>
      <c r="Z16" s="26"/>
      <c r="AA16" s="44"/>
      <c r="AB16" s="44"/>
      <c r="AC16" s="44"/>
      <c r="AD16" s="44"/>
      <c r="AE16" s="44"/>
      <c r="AF16" s="16"/>
    </row>
    <row r="17" spans="1:32">
      <c r="A17" s="16"/>
      <c r="B17" s="16"/>
      <c r="C17" s="16"/>
      <c r="D17" s="16"/>
      <c r="E17" s="16"/>
      <c r="F17" s="16"/>
      <c r="G17" s="16"/>
      <c r="H17" s="16"/>
      <c r="I17" s="16"/>
      <c r="J17" s="16"/>
      <c r="K17" s="16"/>
      <c r="L17" s="16"/>
      <c r="M17" s="16"/>
      <c r="N17" s="16"/>
      <c r="O17" s="16"/>
      <c r="P17" s="16"/>
      <c r="Q17" s="16"/>
      <c r="R17" s="16"/>
      <c r="S17" s="104"/>
      <c r="T17" s="107"/>
      <c r="U17" s="107"/>
      <c r="V17" s="107"/>
      <c r="W17" s="107"/>
      <c r="X17" s="106"/>
      <c r="Y17" s="16"/>
      <c r="Z17" s="26"/>
      <c r="AA17" s="40" t="s">
        <v>181</v>
      </c>
      <c r="AB17" s="40"/>
      <c r="AC17" s="40"/>
      <c r="AD17" s="40"/>
      <c r="AE17" s="40"/>
      <c r="AF17" s="16"/>
    </row>
    <row r="18" spans="1:32">
      <c r="A18" s="16"/>
      <c r="B18" s="45"/>
      <c r="C18" s="45"/>
      <c r="D18" s="248" t="s">
        <v>182</v>
      </c>
      <c r="E18" s="248"/>
      <c r="F18" s="248"/>
      <c r="G18" s="46"/>
      <c r="H18" s="248" t="s">
        <v>100</v>
      </c>
      <c r="I18" s="248"/>
      <c r="J18" s="248"/>
      <c r="K18" s="46"/>
      <c r="L18" s="248" t="s">
        <v>102</v>
      </c>
      <c r="M18" s="248"/>
      <c r="N18" s="248"/>
      <c r="O18" s="18"/>
      <c r="P18" s="248" t="s">
        <v>104</v>
      </c>
      <c r="Q18" s="248"/>
      <c r="R18" s="248"/>
      <c r="S18" s="108"/>
      <c r="T18" s="121"/>
      <c r="U18" s="122"/>
      <c r="V18" s="122"/>
      <c r="W18" s="123"/>
      <c r="X18" s="106"/>
      <c r="Y18" s="16"/>
      <c r="Z18" s="26"/>
      <c r="AA18" s="40" t="s">
        <v>183</v>
      </c>
      <c r="AB18" s="40"/>
      <c r="AC18" s="40"/>
      <c r="AD18" s="40"/>
      <c r="AE18" s="40"/>
      <c r="AF18" s="16"/>
    </row>
    <row r="19" spans="1:32">
      <c r="A19" s="16"/>
      <c r="B19" s="45"/>
      <c r="C19" s="45"/>
      <c r="D19" s="248" t="s">
        <v>99</v>
      </c>
      <c r="E19" s="248"/>
      <c r="F19" s="248"/>
      <c r="G19" s="46"/>
      <c r="H19" s="248" t="s">
        <v>101</v>
      </c>
      <c r="I19" s="248"/>
      <c r="J19" s="248"/>
      <c r="K19" s="46"/>
      <c r="L19" s="248" t="s">
        <v>103</v>
      </c>
      <c r="M19" s="248"/>
      <c r="N19" s="248"/>
      <c r="O19" s="18"/>
      <c r="P19" s="248" t="s">
        <v>105</v>
      </c>
      <c r="Q19" s="248"/>
      <c r="R19" s="248"/>
      <c r="S19" s="108"/>
      <c r="T19" s="245" t="s">
        <v>184</v>
      </c>
      <c r="U19" s="246"/>
      <c r="V19" s="246"/>
      <c r="W19" s="247"/>
      <c r="X19" s="106"/>
      <c r="Y19" s="16"/>
      <c r="Z19" s="26"/>
      <c r="AA19" s="40" t="s">
        <v>185</v>
      </c>
      <c r="AB19" s="40"/>
      <c r="AC19" s="40"/>
      <c r="AD19" s="40"/>
      <c r="AE19" s="40"/>
      <c r="AF19" s="16"/>
    </row>
    <row r="20" spans="1:32">
      <c r="A20" s="16"/>
      <c r="B20" s="46" t="s">
        <v>88</v>
      </c>
      <c r="C20" s="45"/>
      <c r="D20" s="47" t="s">
        <v>172</v>
      </c>
      <c r="E20" s="47" t="s">
        <v>174</v>
      </c>
      <c r="F20" s="47" t="s">
        <v>177</v>
      </c>
      <c r="G20" s="46"/>
      <c r="H20" s="47" t="s">
        <v>172</v>
      </c>
      <c r="I20" s="47" t="s">
        <v>174</v>
      </c>
      <c r="J20" s="47" t="s">
        <v>177</v>
      </c>
      <c r="K20" s="46"/>
      <c r="L20" s="47" t="s">
        <v>172</v>
      </c>
      <c r="M20" s="47" t="s">
        <v>174</v>
      </c>
      <c r="N20" s="47" t="s">
        <v>177</v>
      </c>
      <c r="O20" s="46"/>
      <c r="P20" s="47" t="s">
        <v>172</v>
      </c>
      <c r="Q20" s="47" t="s">
        <v>174</v>
      </c>
      <c r="R20" s="47" t="s">
        <v>177</v>
      </c>
      <c r="S20" s="109"/>
      <c r="T20" s="124" t="str">
        <f>D18</f>
        <v>SSP1‒ 2.6</v>
      </c>
      <c r="U20" s="116" t="str">
        <f>H18</f>
        <v>SSP2‒3.4</v>
      </c>
      <c r="V20" s="116" t="str">
        <f>L18</f>
        <v>SSP3‒6.0</v>
      </c>
      <c r="W20" s="125" t="str">
        <f>P18</f>
        <v>SSP5‒Baseline</v>
      </c>
      <c r="X20" s="106"/>
      <c r="Y20" s="16"/>
      <c r="Z20" s="26"/>
      <c r="AA20" s="40" t="s">
        <v>186</v>
      </c>
      <c r="AB20" s="40"/>
      <c r="AC20" s="40"/>
      <c r="AD20" s="40"/>
      <c r="AE20" s="40"/>
      <c r="AF20" s="16"/>
    </row>
    <row r="21" spans="1:32">
      <c r="A21" s="16"/>
      <c r="B21" s="119">
        <v>2020</v>
      </c>
      <c r="C21" s="119"/>
      <c r="D21" s="99">
        <f>ROUND($D$13,3)</f>
        <v>42</v>
      </c>
      <c r="E21" s="99">
        <f>ROUND($D$14,3)</f>
        <v>2.2000000000000002</v>
      </c>
      <c r="F21" s="99">
        <f>ROUND($D$15,3)</f>
        <v>1.2</v>
      </c>
      <c r="G21" s="99"/>
      <c r="H21" s="99">
        <f>ROUND($D$13,3)</f>
        <v>42</v>
      </c>
      <c r="I21" s="99">
        <f>ROUND($D$14,3)</f>
        <v>2.2000000000000002</v>
      </c>
      <c r="J21" s="99">
        <f>ROUND($D$15,3)</f>
        <v>1.2</v>
      </c>
      <c r="K21" s="99"/>
      <c r="L21" s="99">
        <f>ROUND($D$13,3)</f>
        <v>42</v>
      </c>
      <c r="M21" s="99">
        <f>ROUND($D$14,3)</f>
        <v>2.2000000000000002</v>
      </c>
      <c r="N21" s="99">
        <f>ROUND($D$15,3)</f>
        <v>1.2</v>
      </c>
      <c r="O21" s="100"/>
      <c r="P21" s="99">
        <f>ROUND($D$13,3)</f>
        <v>42</v>
      </c>
      <c r="Q21" s="99">
        <f>ROUND($D$14,3)</f>
        <v>2.2000000000000002</v>
      </c>
      <c r="R21" s="99">
        <f>ROUND($D$15,3)</f>
        <v>1.2</v>
      </c>
      <c r="S21" s="110"/>
      <c r="T21" s="126">
        <f>ROUND(('SSP Scenarios'!D19/'SSP Scenarios'!D$19)^2,5)</f>
        <v>1</v>
      </c>
      <c r="U21" s="127">
        <f>ROUND(('SSP Scenarios'!E19/'SSP Scenarios'!E$19)^2,5)</f>
        <v>1</v>
      </c>
      <c r="V21" s="127">
        <f>ROUND(('SSP Scenarios'!F19/'SSP Scenarios'!F$19)^2,5)</f>
        <v>1</v>
      </c>
      <c r="W21" s="128">
        <f>ROUND(('SSP Scenarios'!G19/'SSP Scenarios'!G$19)^2,5)</f>
        <v>1</v>
      </c>
      <c r="X21" s="106"/>
      <c r="Y21" s="16"/>
      <c r="Z21" s="26"/>
      <c r="AA21" s="40" t="s">
        <v>187</v>
      </c>
      <c r="AB21" s="40"/>
      <c r="AC21" s="40"/>
      <c r="AD21" s="40"/>
      <c r="AE21" s="40"/>
      <c r="AF21" s="16"/>
    </row>
    <row r="22" spans="1:32">
      <c r="A22" s="16"/>
      <c r="B22" s="120">
        <v>2021</v>
      </c>
      <c r="C22" s="120"/>
      <c r="D22" s="120">
        <f>ROUND(D$21*$T22,3)</f>
        <v>42.457000000000001</v>
      </c>
      <c r="E22" s="120">
        <f t="shared" ref="E22:F22" si="0">ROUND(E$21*$T22,3)</f>
        <v>2.2240000000000002</v>
      </c>
      <c r="F22" s="120">
        <f t="shared" si="0"/>
        <v>1.2130000000000001</v>
      </c>
      <c r="G22" s="120"/>
      <c r="H22" s="120">
        <f>ROUND(H$21*$U22,3)</f>
        <v>42.518999999999998</v>
      </c>
      <c r="I22" s="120">
        <f t="shared" ref="I22:J22" si="1">ROUND(I$21*$U22,3)</f>
        <v>2.2269999999999999</v>
      </c>
      <c r="J22" s="120">
        <f t="shared" si="1"/>
        <v>1.2150000000000001</v>
      </c>
      <c r="K22" s="120"/>
      <c r="L22" s="120">
        <f>ROUND(L$21*$V22,3)</f>
        <v>42.658000000000001</v>
      </c>
      <c r="M22" s="120">
        <f t="shared" ref="M22:N22" si="2">ROUND(M$21*$V22,3)</f>
        <v>2.234</v>
      </c>
      <c r="N22" s="120">
        <f t="shared" si="2"/>
        <v>1.2190000000000001</v>
      </c>
      <c r="O22" s="120"/>
      <c r="P22" s="120">
        <f>ROUND(P$21*$W22,3)</f>
        <v>42.746000000000002</v>
      </c>
      <c r="Q22" s="120">
        <f t="shared" ref="Q22:R22" si="3">ROUND(Q$21*$W22,3)</f>
        <v>2.2389999999999999</v>
      </c>
      <c r="R22" s="120">
        <f t="shared" si="3"/>
        <v>1.2210000000000001</v>
      </c>
      <c r="S22" s="111"/>
      <c r="T22" s="135">
        <f>T21+(T$31-T$21)/($B$31-$B$21)</f>
        <v>1.0108900000000001</v>
      </c>
      <c r="U22" s="136">
        <f t="shared" ref="U22:W30" si="4">U21+(U$31-U$21)/($B$31-$B$21)</f>
        <v>1.012346</v>
      </c>
      <c r="V22" s="136">
        <f t="shared" si="4"/>
        <v>1.015665</v>
      </c>
      <c r="W22" s="137">
        <f t="shared" si="4"/>
        <v>1.0177499999999999</v>
      </c>
      <c r="X22" s="112"/>
      <c r="Y22" s="16"/>
      <c r="Z22" s="26"/>
      <c r="AA22" s="40" t="s">
        <v>188</v>
      </c>
      <c r="AB22" s="40"/>
      <c r="AC22" s="40"/>
      <c r="AD22" s="40"/>
      <c r="AE22" s="40"/>
      <c r="AF22" s="16"/>
    </row>
    <row r="23" spans="1:32">
      <c r="A23" s="16"/>
      <c r="B23" s="119">
        <v>2022</v>
      </c>
      <c r="C23" s="119"/>
      <c r="D23" s="119">
        <f t="shared" ref="D23:F30" si="5">ROUND(D$21*$T23,3)</f>
        <v>42.914999999999999</v>
      </c>
      <c r="E23" s="119">
        <f t="shared" si="5"/>
        <v>2.2480000000000002</v>
      </c>
      <c r="F23" s="119">
        <f t="shared" si="5"/>
        <v>1.226</v>
      </c>
      <c r="G23" s="119"/>
      <c r="H23" s="119">
        <f t="shared" ref="H23:J30" si="6">ROUND(H$21*$U23,3)</f>
        <v>43.036999999999999</v>
      </c>
      <c r="I23" s="119">
        <f t="shared" si="6"/>
        <v>2.254</v>
      </c>
      <c r="J23" s="119">
        <f t="shared" si="6"/>
        <v>1.23</v>
      </c>
      <c r="K23" s="119"/>
      <c r="L23" s="119">
        <f t="shared" ref="L23:N30" si="7">ROUND(L$21*$V23,3)</f>
        <v>43.316000000000003</v>
      </c>
      <c r="M23" s="119">
        <f t="shared" si="7"/>
        <v>2.2690000000000001</v>
      </c>
      <c r="N23" s="119">
        <f t="shared" si="7"/>
        <v>1.238</v>
      </c>
      <c r="O23" s="119"/>
      <c r="P23" s="119">
        <f t="shared" ref="P23:R30" si="8">ROUND(P$21*$W23,3)</f>
        <v>43.491</v>
      </c>
      <c r="Q23" s="119">
        <f t="shared" si="8"/>
        <v>2.278</v>
      </c>
      <c r="R23" s="119">
        <f t="shared" si="8"/>
        <v>1.2430000000000001</v>
      </c>
      <c r="S23" s="111"/>
      <c r="T23" s="138">
        <f t="shared" ref="T23:T30" si="9">T22+(T$31-T$21)/($B$31-$B$21)</f>
        <v>1.0217800000000001</v>
      </c>
      <c r="U23" s="139">
        <f>U22+(U$31-U$21)/($B$31-$B$21)</f>
        <v>1.0246919999999999</v>
      </c>
      <c r="V23" s="139">
        <f t="shared" si="4"/>
        <v>1.0313300000000001</v>
      </c>
      <c r="W23" s="140">
        <f t="shared" si="4"/>
        <v>1.0354999999999999</v>
      </c>
      <c r="X23" s="112"/>
      <c r="Y23" s="16"/>
      <c r="Z23" s="26"/>
      <c r="AA23" s="40"/>
      <c r="AB23" s="40"/>
      <c r="AC23" s="40"/>
      <c r="AD23" s="40"/>
      <c r="AE23" s="40"/>
      <c r="AF23" s="16"/>
    </row>
    <row r="24" spans="1:32">
      <c r="A24" s="16"/>
      <c r="B24" s="120">
        <v>2023</v>
      </c>
      <c r="C24" s="120"/>
      <c r="D24" s="120">
        <f t="shared" si="5"/>
        <v>43.372</v>
      </c>
      <c r="E24" s="120">
        <f t="shared" si="5"/>
        <v>2.2719999999999998</v>
      </c>
      <c r="F24" s="120">
        <f t="shared" si="5"/>
        <v>1.2390000000000001</v>
      </c>
      <c r="G24" s="120"/>
      <c r="H24" s="120">
        <f t="shared" si="6"/>
        <v>43.555999999999997</v>
      </c>
      <c r="I24" s="120">
        <f t="shared" si="6"/>
        <v>2.2810000000000001</v>
      </c>
      <c r="J24" s="120">
        <f t="shared" si="6"/>
        <v>1.244</v>
      </c>
      <c r="K24" s="120"/>
      <c r="L24" s="120">
        <f t="shared" si="7"/>
        <v>43.973999999999997</v>
      </c>
      <c r="M24" s="120">
        <f t="shared" si="7"/>
        <v>2.3029999999999999</v>
      </c>
      <c r="N24" s="120">
        <f t="shared" si="7"/>
        <v>1.256</v>
      </c>
      <c r="O24" s="120"/>
      <c r="P24" s="120">
        <f t="shared" si="8"/>
        <v>44.237000000000002</v>
      </c>
      <c r="Q24" s="120">
        <f t="shared" si="8"/>
        <v>2.3170000000000002</v>
      </c>
      <c r="R24" s="120">
        <f t="shared" si="8"/>
        <v>1.264</v>
      </c>
      <c r="S24" s="111"/>
      <c r="T24" s="135">
        <f t="shared" si="9"/>
        <v>1.0326700000000002</v>
      </c>
      <c r="U24" s="136">
        <f t="shared" si="4"/>
        <v>1.0370379999999999</v>
      </c>
      <c r="V24" s="136">
        <f t="shared" si="4"/>
        <v>1.0469950000000001</v>
      </c>
      <c r="W24" s="137">
        <f t="shared" si="4"/>
        <v>1.0532499999999998</v>
      </c>
      <c r="X24" s="112"/>
      <c r="Y24" s="16"/>
      <c r="Z24" s="26"/>
      <c r="AA24" s="40" t="s">
        <v>189</v>
      </c>
      <c r="AB24" s="40"/>
      <c r="AC24" s="40"/>
      <c r="AD24" s="40"/>
      <c r="AE24" s="40"/>
      <c r="AF24" s="16"/>
    </row>
    <row r="25" spans="1:32">
      <c r="A25" s="16"/>
      <c r="B25" s="119">
        <v>2024</v>
      </c>
      <c r="C25" s="119"/>
      <c r="D25" s="119">
        <f t="shared" si="5"/>
        <v>43.83</v>
      </c>
      <c r="E25" s="119">
        <f t="shared" si="5"/>
        <v>2.2959999999999998</v>
      </c>
      <c r="F25" s="119">
        <f t="shared" si="5"/>
        <v>1.252</v>
      </c>
      <c r="G25" s="119"/>
      <c r="H25" s="119">
        <f t="shared" si="6"/>
        <v>44.073999999999998</v>
      </c>
      <c r="I25" s="119">
        <f t="shared" si="6"/>
        <v>2.3090000000000002</v>
      </c>
      <c r="J25" s="119">
        <f t="shared" si="6"/>
        <v>1.2589999999999999</v>
      </c>
      <c r="K25" s="119"/>
      <c r="L25" s="119">
        <f t="shared" si="7"/>
        <v>44.631999999999998</v>
      </c>
      <c r="M25" s="119">
        <f t="shared" si="7"/>
        <v>2.3380000000000001</v>
      </c>
      <c r="N25" s="119">
        <f t="shared" si="7"/>
        <v>1.2749999999999999</v>
      </c>
      <c r="O25" s="119"/>
      <c r="P25" s="119">
        <f t="shared" si="8"/>
        <v>44.981999999999999</v>
      </c>
      <c r="Q25" s="119">
        <f t="shared" si="8"/>
        <v>2.3559999999999999</v>
      </c>
      <c r="R25" s="119">
        <f t="shared" si="8"/>
        <v>1.2849999999999999</v>
      </c>
      <c r="S25" s="111"/>
      <c r="T25" s="138">
        <f t="shared" si="9"/>
        <v>1.0435600000000003</v>
      </c>
      <c r="U25" s="139">
        <f t="shared" si="4"/>
        <v>1.0493839999999999</v>
      </c>
      <c r="V25" s="139">
        <f t="shared" si="4"/>
        <v>1.0626600000000002</v>
      </c>
      <c r="W25" s="140">
        <f t="shared" si="4"/>
        <v>1.0709999999999997</v>
      </c>
      <c r="X25" s="112"/>
      <c r="Y25" s="16"/>
      <c r="Z25" s="26"/>
      <c r="AA25" s="40" t="s">
        <v>190</v>
      </c>
      <c r="AB25" s="40"/>
      <c r="AC25" s="40"/>
      <c r="AD25" s="40"/>
      <c r="AE25" s="40"/>
      <c r="AF25" s="16"/>
    </row>
    <row r="26" spans="1:32">
      <c r="A26" s="16"/>
      <c r="B26" s="120">
        <v>2025</v>
      </c>
      <c r="C26" s="120"/>
      <c r="D26" s="120">
        <f t="shared" si="5"/>
        <v>44.286999999999999</v>
      </c>
      <c r="E26" s="120">
        <f t="shared" si="5"/>
        <v>2.3199999999999998</v>
      </c>
      <c r="F26" s="120">
        <f t="shared" si="5"/>
        <v>1.2649999999999999</v>
      </c>
      <c r="G26" s="120"/>
      <c r="H26" s="120">
        <f t="shared" si="6"/>
        <v>44.593000000000004</v>
      </c>
      <c r="I26" s="120">
        <f t="shared" si="6"/>
        <v>2.3359999999999999</v>
      </c>
      <c r="J26" s="120">
        <f t="shared" si="6"/>
        <v>1.274</v>
      </c>
      <c r="K26" s="120"/>
      <c r="L26" s="120">
        <f t="shared" si="7"/>
        <v>45.29</v>
      </c>
      <c r="M26" s="120">
        <f t="shared" si="7"/>
        <v>2.3719999999999999</v>
      </c>
      <c r="N26" s="120">
        <f t="shared" si="7"/>
        <v>1.294</v>
      </c>
      <c r="O26" s="120"/>
      <c r="P26" s="120">
        <f t="shared" si="8"/>
        <v>45.728000000000002</v>
      </c>
      <c r="Q26" s="120">
        <f t="shared" si="8"/>
        <v>2.395</v>
      </c>
      <c r="R26" s="120">
        <f t="shared" si="8"/>
        <v>1.3069999999999999</v>
      </c>
      <c r="S26" s="111"/>
      <c r="T26" s="135">
        <f t="shared" si="9"/>
        <v>1.0544500000000003</v>
      </c>
      <c r="U26" s="136">
        <f t="shared" si="4"/>
        <v>1.0617299999999998</v>
      </c>
      <c r="V26" s="136">
        <f t="shared" si="4"/>
        <v>1.0783250000000002</v>
      </c>
      <c r="W26" s="137">
        <f t="shared" si="4"/>
        <v>1.0887499999999997</v>
      </c>
      <c r="X26" s="112"/>
      <c r="Y26" s="16"/>
      <c r="Z26" s="26"/>
      <c r="AA26" s="40"/>
      <c r="AB26" s="40"/>
      <c r="AC26" s="40"/>
      <c r="AD26" s="40"/>
      <c r="AE26" s="40"/>
      <c r="AF26" s="16"/>
    </row>
    <row r="27" spans="1:32">
      <c r="A27" s="16"/>
      <c r="B27" s="119">
        <v>2026</v>
      </c>
      <c r="C27" s="119"/>
      <c r="D27" s="119">
        <f t="shared" si="5"/>
        <v>44.744</v>
      </c>
      <c r="E27" s="119">
        <f t="shared" si="5"/>
        <v>2.3439999999999999</v>
      </c>
      <c r="F27" s="119">
        <f t="shared" si="5"/>
        <v>1.278</v>
      </c>
      <c r="G27" s="119"/>
      <c r="H27" s="119">
        <f t="shared" si="6"/>
        <v>45.110999999999997</v>
      </c>
      <c r="I27" s="119">
        <f t="shared" si="6"/>
        <v>2.363</v>
      </c>
      <c r="J27" s="119">
        <f t="shared" si="6"/>
        <v>1.2889999999999999</v>
      </c>
      <c r="K27" s="119"/>
      <c r="L27" s="119">
        <f t="shared" si="7"/>
        <v>45.948</v>
      </c>
      <c r="M27" s="119">
        <f t="shared" si="7"/>
        <v>2.407</v>
      </c>
      <c r="N27" s="119">
        <f t="shared" si="7"/>
        <v>1.3129999999999999</v>
      </c>
      <c r="O27" s="119"/>
      <c r="P27" s="119">
        <f t="shared" si="8"/>
        <v>46.472999999999999</v>
      </c>
      <c r="Q27" s="119">
        <f t="shared" si="8"/>
        <v>2.4340000000000002</v>
      </c>
      <c r="R27" s="119">
        <f t="shared" si="8"/>
        <v>1.3280000000000001</v>
      </c>
      <c r="S27" s="111"/>
      <c r="T27" s="138">
        <f t="shared" si="9"/>
        <v>1.0653400000000004</v>
      </c>
      <c r="U27" s="139">
        <f t="shared" si="4"/>
        <v>1.0740759999999998</v>
      </c>
      <c r="V27" s="139">
        <f t="shared" si="4"/>
        <v>1.0939900000000002</v>
      </c>
      <c r="W27" s="140">
        <f t="shared" si="4"/>
        <v>1.1064999999999996</v>
      </c>
      <c r="X27" s="112"/>
      <c r="Y27" s="16"/>
      <c r="Z27" s="26"/>
      <c r="AA27" s="48"/>
      <c r="AB27" s="48" t="s">
        <v>172</v>
      </c>
      <c r="AC27" s="48" t="s">
        <v>174</v>
      </c>
      <c r="AD27" s="48" t="s">
        <v>177</v>
      </c>
      <c r="AE27" s="26"/>
      <c r="AF27" s="16"/>
    </row>
    <row r="28" spans="1:32">
      <c r="A28" s="16"/>
      <c r="B28" s="120">
        <v>2027</v>
      </c>
      <c r="C28" s="120"/>
      <c r="D28" s="120">
        <f t="shared" si="5"/>
        <v>45.201999999999998</v>
      </c>
      <c r="E28" s="120">
        <f t="shared" si="5"/>
        <v>2.3679999999999999</v>
      </c>
      <c r="F28" s="120">
        <f t="shared" si="5"/>
        <v>1.2909999999999999</v>
      </c>
      <c r="G28" s="120"/>
      <c r="H28" s="120">
        <f t="shared" si="6"/>
        <v>45.63</v>
      </c>
      <c r="I28" s="120">
        <f t="shared" si="6"/>
        <v>2.39</v>
      </c>
      <c r="J28" s="120">
        <f t="shared" si="6"/>
        <v>1.304</v>
      </c>
      <c r="K28" s="120"/>
      <c r="L28" s="120">
        <f t="shared" si="7"/>
        <v>46.606000000000002</v>
      </c>
      <c r="M28" s="120">
        <f t="shared" si="7"/>
        <v>2.4409999999999998</v>
      </c>
      <c r="N28" s="120">
        <f t="shared" si="7"/>
        <v>1.3320000000000001</v>
      </c>
      <c r="O28" s="120"/>
      <c r="P28" s="120">
        <f t="shared" si="8"/>
        <v>47.219000000000001</v>
      </c>
      <c r="Q28" s="120">
        <f t="shared" si="8"/>
        <v>2.4729999999999999</v>
      </c>
      <c r="R28" s="120">
        <f t="shared" si="8"/>
        <v>1.349</v>
      </c>
      <c r="S28" s="111"/>
      <c r="T28" s="135">
        <f t="shared" si="9"/>
        <v>1.0762300000000005</v>
      </c>
      <c r="U28" s="136">
        <f t="shared" si="4"/>
        <v>1.0864219999999998</v>
      </c>
      <c r="V28" s="136">
        <f t="shared" si="4"/>
        <v>1.1096550000000003</v>
      </c>
      <c r="W28" s="137">
        <f t="shared" si="4"/>
        <v>1.1242499999999995</v>
      </c>
      <c r="X28" s="112"/>
      <c r="Y28" s="16"/>
      <c r="Z28" s="26"/>
      <c r="AA28" s="49" t="s">
        <v>191</v>
      </c>
      <c r="AB28" s="50">
        <f>AVERAGE(AB33:AB63)</f>
        <v>5.967741935483871</v>
      </c>
      <c r="AC28" s="50">
        <f t="shared" ref="AC28:AD28" si="10">AVERAGE(AC33:AC63)</f>
        <v>1.6451612903225807</v>
      </c>
      <c r="AD28" s="50">
        <f t="shared" si="10"/>
        <v>0.61290322580645162</v>
      </c>
      <c r="AE28" s="26"/>
      <c r="AF28" s="16"/>
    </row>
    <row r="29" spans="1:32">
      <c r="A29" s="16"/>
      <c r="B29" s="119">
        <v>2028</v>
      </c>
      <c r="C29" s="119"/>
      <c r="D29" s="119">
        <f t="shared" si="5"/>
        <v>45.658999999999999</v>
      </c>
      <c r="E29" s="119">
        <f t="shared" si="5"/>
        <v>2.3919999999999999</v>
      </c>
      <c r="F29" s="119">
        <f t="shared" si="5"/>
        <v>1.3049999999999999</v>
      </c>
      <c r="G29" s="119"/>
      <c r="H29" s="119">
        <f t="shared" si="6"/>
        <v>46.148000000000003</v>
      </c>
      <c r="I29" s="119">
        <f t="shared" si="6"/>
        <v>2.4169999999999998</v>
      </c>
      <c r="J29" s="119">
        <f t="shared" si="6"/>
        <v>1.319</v>
      </c>
      <c r="K29" s="119"/>
      <c r="L29" s="119">
        <f t="shared" si="7"/>
        <v>47.262999999999998</v>
      </c>
      <c r="M29" s="119">
        <f t="shared" si="7"/>
        <v>2.476</v>
      </c>
      <c r="N29" s="119">
        <f t="shared" si="7"/>
        <v>1.35</v>
      </c>
      <c r="O29" s="119"/>
      <c r="P29" s="119">
        <f t="shared" si="8"/>
        <v>47.963999999999999</v>
      </c>
      <c r="Q29" s="119">
        <f t="shared" si="8"/>
        <v>2.512</v>
      </c>
      <c r="R29" s="119">
        <f t="shared" si="8"/>
        <v>1.37</v>
      </c>
      <c r="S29" s="111"/>
      <c r="T29" s="138">
        <f t="shared" si="9"/>
        <v>1.0871200000000005</v>
      </c>
      <c r="U29" s="139">
        <f t="shared" si="4"/>
        <v>1.0987679999999997</v>
      </c>
      <c r="V29" s="139">
        <f t="shared" si="4"/>
        <v>1.1253200000000003</v>
      </c>
      <c r="W29" s="140">
        <f t="shared" si="4"/>
        <v>1.1419999999999995</v>
      </c>
      <c r="X29" s="112"/>
      <c r="Y29" s="16"/>
      <c r="Z29" s="26"/>
      <c r="AA29" s="49" t="s">
        <v>192</v>
      </c>
      <c r="AB29" s="51">
        <f>ROUND(AB28,1)</f>
        <v>6</v>
      </c>
      <c r="AC29" s="51">
        <f t="shared" ref="AC29:AD29" si="11">ROUND(AC28,1)</f>
        <v>1.6</v>
      </c>
      <c r="AD29" s="51">
        <f t="shared" si="11"/>
        <v>0.6</v>
      </c>
      <c r="AE29" s="26"/>
      <c r="AF29" s="16"/>
    </row>
    <row r="30" spans="1:32">
      <c r="A30" s="16"/>
      <c r="B30" s="120">
        <v>2029</v>
      </c>
      <c r="C30" s="120"/>
      <c r="D30" s="120">
        <f t="shared" si="5"/>
        <v>46.116</v>
      </c>
      <c r="E30" s="120">
        <f t="shared" si="5"/>
        <v>2.4159999999999999</v>
      </c>
      <c r="F30" s="120">
        <f t="shared" si="5"/>
        <v>1.3180000000000001</v>
      </c>
      <c r="G30" s="120"/>
      <c r="H30" s="120">
        <f t="shared" si="6"/>
        <v>46.667000000000002</v>
      </c>
      <c r="I30" s="120">
        <f t="shared" si="6"/>
        <v>2.444</v>
      </c>
      <c r="J30" s="120">
        <f t="shared" si="6"/>
        <v>1.333</v>
      </c>
      <c r="K30" s="120"/>
      <c r="L30" s="120">
        <f t="shared" si="7"/>
        <v>47.920999999999999</v>
      </c>
      <c r="M30" s="120">
        <f t="shared" si="7"/>
        <v>2.5099999999999998</v>
      </c>
      <c r="N30" s="120">
        <f t="shared" si="7"/>
        <v>1.369</v>
      </c>
      <c r="O30" s="120"/>
      <c r="P30" s="120">
        <f t="shared" si="8"/>
        <v>48.71</v>
      </c>
      <c r="Q30" s="120">
        <f t="shared" si="8"/>
        <v>2.5510000000000002</v>
      </c>
      <c r="R30" s="120">
        <f t="shared" si="8"/>
        <v>1.3919999999999999</v>
      </c>
      <c r="S30" s="111"/>
      <c r="T30" s="135">
        <f t="shared" si="9"/>
        <v>1.0980100000000006</v>
      </c>
      <c r="U30" s="136">
        <f t="shared" si="4"/>
        <v>1.1111139999999997</v>
      </c>
      <c r="V30" s="136">
        <f t="shared" si="4"/>
        <v>1.1409850000000004</v>
      </c>
      <c r="W30" s="137">
        <f t="shared" si="4"/>
        <v>1.1597499999999994</v>
      </c>
      <c r="X30" s="112"/>
      <c r="Y30" s="16"/>
      <c r="Z30" s="26"/>
      <c r="AA30" s="52"/>
      <c r="AB30" s="53"/>
      <c r="AC30" s="53"/>
      <c r="AD30" s="53"/>
      <c r="AE30" s="26"/>
      <c r="AF30" s="16"/>
    </row>
    <row r="31" spans="1:32">
      <c r="A31" s="16"/>
      <c r="B31" s="119">
        <v>2030</v>
      </c>
      <c r="C31" s="119"/>
      <c r="D31" s="99">
        <f t="shared" ref="D31:F43" si="12">ROUND(D$21*$T31,3)</f>
        <v>46.573999999999998</v>
      </c>
      <c r="E31" s="99">
        <f t="shared" si="12"/>
        <v>2.44</v>
      </c>
      <c r="F31" s="99">
        <f t="shared" si="12"/>
        <v>1.331</v>
      </c>
      <c r="G31" s="99"/>
      <c r="H31" s="99">
        <f t="shared" ref="H31:J43" si="13">ROUND(H$21*$U31,3)</f>
        <v>47.185000000000002</v>
      </c>
      <c r="I31" s="99">
        <f t="shared" si="13"/>
        <v>2.472</v>
      </c>
      <c r="J31" s="99">
        <f t="shared" si="13"/>
        <v>1.3480000000000001</v>
      </c>
      <c r="K31" s="99"/>
      <c r="L31" s="99">
        <f t="shared" ref="L31:N43" si="14">ROUND(L$21*$V31,3)</f>
        <v>48.579000000000001</v>
      </c>
      <c r="M31" s="99">
        <f t="shared" si="14"/>
        <v>2.5449999999999999</v>
      </c>
      <c r="N31" s="99">
        <f t="shared" si="14"/>
        <v>1.3879999999999999</v>
      </c>
      <c r="O31" s="100"/>
      <c r="P31" s="99">
        <f t="shared" ref="P31:R43" si="15">ROUND(P$21*$W31,3)</f>
        <v>49.454999999999998</v>
      </c>
      <c r="Q31" s="99">
        <f t="shared" si="15"/>
        <v>2.5910000000000002</v>
      </c>
      <c r="R31" s="99">
        <f t="shared" si="15"/>
        <v>1.413</v>
      </c>
      <c r="S31" s="110"/>
      <c r="T31" s="126">
        <f>ROUND(('SSP Scenarios'!D20/'SSP Scenarios'!D$19)^2,5)</f>
        <v>1.1089</v>
      </c>
      <c r="U31" s="127">
        <f>ROUND(('SSP Scenarios'!E20/'SSP Scenarios'!E$19)^2,5)</f>
        <v>1.1234599999999999</v>
      </c>
      <c r="V31" s="127">
        <f>ROUND(('SSP Scenarios'!F20/'SSP Scenarios'!F$19)^2,5)</f>
        <v>1.15665</v>
      </c>
      <c r="W31" s="128">
        <f>ROUND(('SSP Scenarios'!G20/'SSP Scenarios'!G$19)^2,5)</f>
        <v>1.1775</v>
      </c>
      <c r="X31" s="106"/>
      <c r="Y31" s="16"/>
      <c r="Z31" s="26"/>
      <c r="AA31" s="54" t="s">
        <v>193</v>
      </c>
      <c r="AB31" s="55"/>
      <c r="AC31" s="55"/>
      <c r="AD31" s="55"/>
      <c r="AE31" s="26"/>
      <c r="AF31" s="16"/>
    </row>
    <row r="32" spans="1:32">
      <c r="A32" s="16"/>
      <c r="B32" s="120">
        <f>B31+10</f>
        <v>2040</v>
      </c>
      <c r="C32" s="120"/>
      <c r="D32" s="117">
        <f t="shared" si="12"/>
        <v>49.994999999999997</v>
      </c>
      <c r="E32" s="117">
        <f t="shared" si="12"/>
        <v>2.6190000000000002</v>
      </c>
      <c r="F32" s="117">
        <f t="shared" si="12"/>
        <v>1.4279999999999999</v>
      </c>
      <c r="G32" s="117"/>
      <c r="H32" s="117">
        <f t="shared" si="13"/>
        <v>52.43</v>
      </c>
      <c r="I32" s="117">
        <f t="shared" si="13"/>
        <v>2.746</v>
      </c>
      <c r="J32" s="117">
        <f t="shared" si="13"/>
        <v>1.498</v>
      </c>
      <c r="K32" s="117"/>
      <c r="L32" s="117">
        <f t="shared" si="14"/>
        <v>55.777000000000001</v>
      </c>
      <c r="M32" s="117">
        <f t="shared" si="14"/>
        <v>2.9220000000000002</v>
      </c>
      <c r="N32" s="117">
        <f t="shared" si="14"/>
        <v>1.5940000000000001</v>
      </c>
      <c r="O32" s="118"/>
      <c r="P32" s="117">
        <f t="shared" si="15"/>
        <v>60.234000000000002</v>
      </c>
      <c r="Q32" s="117">
        <f t="shared" si="15"/>
        <v>3.1549999999999998</v>
      </c>
      <c r="R32" s="117">
        <f t="shared" si="15"/>
        <v>1.7210000000000001</v>
      </c>
      <c r="S32" s="110"/>
      <c r="T32" s="129">
        <f>ROUND(('SSP Scenarios'!D21/'SSP Scenarios'!D$19)^2,5)</f>
        <v>1.1903600000000001</v>
      </c>
      <c r="U32" s="130">
        <f>ROUND(('SSP Scenarios'!E21/'SSP Scenarios'!E$19)^2,5)</f>
        <v>1.24834</v>
      </c>
      <c r="V32" s="130">
        <f>ROUND(('SSP Scenarios'!F21/'SSP Scenarios'!F$19)^2,5)</f>
        <v>1.32802</v>
      </c>
      <c r="W32" s="131">
        <f>ROUND(('SSP Scenarios'!G21/'SSP Scenarios'!G$19)^2,5)</f>
        <v>1.43414</v>
      </c>
      <c r="X32" s="106"/>
      <c r="Y32" s="16"/>
      <c r="Z32" s="26"/>
      <c r="AA32" s="48"/>
      <c r="AB32" s="48" t="s">
        <v>172</v>
      </c>
      <c r="AC32" s="48" t="s">
        <v>174</v>
      </c>
      <c r="AD32" s="48" t="s">
        <v>177</v>
      </c>
      <c r="AE32" s="26"/>
      <c r="AF32" s="16"/>
    </row>
    <row r="33" spans="1:32">
      <c r="A33" s="16"/>
      <c r="B33" s="119">
        <f t="shared" ref="B33:B43" si="16">B32+10</f>
        <v>2050</v>
      </c>
      <c r="C33" s="119"/>
      <c r="D33" s="99">
        <f t="shared" si="12"/>
        <v>51.87</v>
      </c>
      <c r="E33" s="99">
        <f t="shared" si="12"/>
        <v>2.7170000000000001</v>
      </c>
      <c r="F33" s="99">
        <f t="shared" si="12"/>
        <v>1.482</v>
      </c>
      <c r="G33" s="99"/>
      <c r="H33" s="99">
        <f t="shared" si="13"/>
        <v>57.101999999999997</v>
      </c>
      <c r="I33" s="99">
        <f t="shared" si="13"/>
        <v>2.9910000000000001</v>
      </c>
      <c r="J33" s="99">
        <f t="shared" si="13"/>
        <v>1.631</v>
      </c>
      <c r="K33" s="99"/>
      <c r="L33" s="99">
        <f t="shared" si="14"/>
        <v>63.155000000000001</v>
      </c>
      <c r="M33" s="99">
        <f t="shared" si="14"/>
        <v>3.3079999999999998</v>
      </c>
      <c r="N33" s="99">
        <f t="shared" si="14"/>
        <v>1.804</v>
      </c>
      <c r="O33" s="100"/>
      <c r="P33" s="99">
        <f t="shared" si="15"/>
        <v>75.570999999999998</v>
      </c>
      <c r="Q33" s="99">
        <f t="shared" si="15"/>
        <v>3.9580000000000002</v>
      </c>
      <c r="R33" s="99">
        <f t="shared" si="15"/>
        <v>2.1589999999999998</v>
      </c>
      <c r="S33" s="110"/>
      <c r="T33" s="126">
        <f>ROUND(('SSP Scenarios'!D22/'SSP Scenarios'!D$19)^2,5)</f>
        <v>1.23499</v>
      </c>
      <c r="U33" s="127">
        <f>ROUND(('SSP Scenarios'!E22/'SSP Scenarios'!E$19)^2,5)</f>
        <v>1.3595699999999999</v>
      </c>
      <c r="V33" s="127">
        <f>ROUND(('SSP Scenarios'!F22/'SSP Scenarios'!F$19)^2,5)</f>
        <v>1.5036799999999999</v>
      </c>
      <c r="W33" s="128">
        <f>ROUND(('SSP Scenarios'!G22/'SSP Scenarios'!G$19)^2,5)</f>
        <v>1.7992999999999999</v>
      </c>
      <c r="X33" s="106"/>
      <c r="Y33" s="16"/>
      <c r="Z33" s="26"/>
      <c r="AA33" s="55">
        <v>1990</v>
      </c>
      <c r="AB33" s="53">
        <v>9</v>
      </c>
      <c r="AC33" s="53">
        <v>4</v>
      </c>
      <c r="AD33" s="53">
        <v>0</v>
      </c>
      <c r="AE33" s="26"/>
      <c r="AF33" s="16"/>
    </row>
    <row r="34" spans="1:32">
      <c r="A34" s="16"/>
      <c r="B34" s="120">
        <f t="shared" si="16"/>
        <v>2060</v>
      </c>
      <c r="C34" s="120"/>
      <c r="D34" s="117">
        <f t="shared" si="12"/>
        <v>52.369</v>
      </c>
      <c r="E34" s="117">
        <f t="shared" si="12"/>
        <v>2.7429999999999999</v>
      </c>
      <c r="F34" s="117">
        <f t="shared" si="12"/>
        <v>1.496</v>
      </c>
      <c r="G34" s="117"/>
      <c r="H34" s="117">
        <f t="shared" si="13"/>
        <v>60.518999999999998</v>
      </c>
      <c r="I34" s="117">
        <f t="shared" si="13"/>
        <v>3.17</v>
      </c>
      <c r="J34" s="117">
        <f t="shared" si="13"/>
        <v>1.7290000000000001</v>
      </c>
      <c r="K34" s="117"/>
      <c r="L34" s="117">
        <f t="shared" si="14"/>
        <v>71.179000000000002</v>
      </c>
      <c r="M34" s="117">
        <f t="shared" si="14"/>
        <v>3.7280000000000002</v>
      </c>
      <c r="N34" s="117">
        <f t="shared" si="14"/>
        <v>2.0339999999999998</v>
      </c>
      <c r="O34" s="118"/>
      <c r="P34" s="117">
        <f t="shared" si="15"/>
        <v>97.518000000000001</v>
      </c>
      <c r="Q34" s="117">
        <f t="shared" si="15"/>
        <v>5.1079999999999997</v>
      </c>
      <c r="R34" s="117">
        <f t="shared" si="15"/>
        <v>2.786</v>
      </c>
      <c r="S34" s="110"/>
      <c r="T34" s="129">
        <f>ROUND(('SSP Scenarios'!D23/'SSP Scenarios'!D$19)^2,5)</f>
        <v>1.2468699999999999</v>
      </c>
      <c r="U34" s="130">
        <f>ROUND(('SSP Scenarios'!E23/'SSP Scenarios'!E$19)^2,5)</f>
        <v>1.4409400000000001</v>
      </c>
      <c r="V34" s="130">
        <f>ROUND(('SSP Scenarios'!F23/'SSP Scenarios'!F$19)^2,5)</f>
        <v>1.6947300000000001</v>
      </c>
      <c r="W34" s="131">
        <f>ROUND(('SSP Scenarios'!G23/'SSP Scenarios'!G$19)^2,5)</f>
        <v>2.32185</v>
      </c>
      <c r="X34" s="106"/>
      <c r="Y34" s="16"/>
      <c r="Z34" s="26"/>
      <c r="AA34" s="55">
        <v>1991</v>
      </c>
      <c r="AB34" s="53">
        <v>7</v>
      </c>
      <c r="AC34" s="53">
        <v>3</v>
      </c>
      <c r="AD34" s="53">
        <v>0</v>
      </c>
      <c r="AE34" s="26"/>
      <c r="AF34" s="16"/>
    </row>
    <row r="35" spans="1:32">
      <c r="A35" s="16"/>
      <c r="B35" s="119">
        <f t="shared" si="16"/>
        <v>2070</v>
      </c>
      <c r="C35" s="119"/>
      <c r="D35" s="99">
        <f t="shared" si="12"/>
        <v>51.857999999999997</v>
      </c>
      <c r="E35" s="99">
        <f t="shared" si="12"/>
        <v>2.7160000000000002</v>
      </c>
      <c r="F35" s="99">
        <f t="shared" si="12"/>
        <v>1.482</v>
      </c>
      <c r="G35" s="99"/>
      <c r="H35" s="99">
        <f t="shared" si="13"/>
        <v>62.183</v>
      </c>
      <c r="I35" s="99">
        <f t="shared" si="13"/>
        <v>3.2570000000000001</v>
      </c>
      <c r="J35" s="99">
        <f t="shared" si="13"/>
        <v>1.7769999999999999</v>
      </c>
      <c r="K35" s="99"/>
      <c r="L35" s="99">
        <f t="shared" si="14"/>
        <v>79.414000000000001</v>
      </c>
      <c r="M35" s="99">
        <f t="shared" si="14"/>
        <v>4.16</v>
      </c>
      <c r="N35" s="99">
        <f t="shared" si="14"/>
        <v>2.2690000000000001</v>
      </c>
      <c r="O35" s="100"/>
      <c r="P35" s="99">
        <f t="shared" si="15"/>
        <v>128.57</v>
      </c>
      <c r="Q35" s="99">
        <f t="shared" si="15"/>
        <v>6.7350000000000003</v>
      </c>
      <c r="R35" s="99">
        <f t="shared" si="15"/>
        <v>3.673</v>
      </c>
      <c r="S35" s="110"/>
      <c r="T35" s="126">
        <f>ROUND(('SSP Scenarios'!D24/'SSP Scenarios'!D$19)^2,5)</f>
        <v>1.23472</v>
      </c>
      <c r="U35" s="127">
        <f>ROUND(('SSP Scenarios'!E24/'SSP Scenarios'!E$19)^2,5)</f>
        <v>1.48054</v>
      </c>
      <c r="V35" s="127">
        <f>ROUND(('SSP Scenarios'!F24/'SSP Scenarios'!F$19)^2,5)</f>
        <v>1.8908100000000001</v>
      </c>
      <c r="W35" s="128">
        <f>ROUND(('SSP Scenarios'!G24/'SSP Scenarios'!G$19)^2,5)</f>
        <v>3.0611799999999998</v>
      </c>
      <c r="X35" s="106"/>
      <c r="Y35" s="16"/>
      <c r="Z35" s="26"/>
      <c r="AA35" s="55">
        <v>1992</v>
      </c>
      <c r="AB35" s="53">
        <v>7</v>
      </c>
      <c r="AC35" s="53">
        <v>3</v>
      </c>
      <c r="AD35" s="53">
        <v>0</v>
      </c>
      <c r="AE35" s="26"/>
      <c r="AF35" s="16"/>
    </row>
    <row r="36" spans="1:32">
      <c r="A36" s="16"/>
      <c r="B36" s="120">
        <f t="shared" si="16"/>
        <v>2080</v>
      </c>
      <c r="C36" s="120"/>
      <c r="D36" s="117">
        <f t="shared" si="12"/>
        <v>50.343000000000004</v>
      </c>
      <c r="E36" s="117">
        <f t="shared" si="12"/>
        <v>2.637</v>
      </c>
      <c r="F36" s="117">
        <f t="shared" si="12"/>
        <v>1.4379999999999999</v>
      </c>
      <c r="G36" s="117"/>
      <c r="H36" s="117">
        <f t="shared" si="13"/>
        <v>62.305999999999997</v>
      </c>
      <c r="I36" s="117">
        <f t="shared" si="13"/>
        <v>3.2639999999999998</v>
      </c>
      <c r="J36" s="117">
        <f t="shared" si="13"/>
        <v>1.78</v>
      </c>
      <c r="K36" s="117"/>
      <c r="L36" s="117">
        <f t="shared" si="14"/>
        <v>86.906000000000006</v>
      </c>
      <c r="M36" s="117">
        <f t="shared" si="14"/>
        <v>4.5519999999999996</v>
      </c>
      <c r="N36" s="117">
        <f t="shared" si="14"/>
        <v>2.4830000000000001</v>
      </c>
      <c r="O36" s="118"/>
      <c r="P36" s="117">
        <f t="shared" si="15"/>
        <v>170.83799999999999</v>
      </c>
      <c r="Q36" s="117">
        <f t="shared" si="15"/>
        <v>8.9489999999999998</v>
      </c>
      <c r="R36" s="117">
        <f t="shared" si="15"/>
        <v>4.8810000000000002</v>
      </c>
      <c r="S36" s="110"/>
      <c r="T36" s="129">
        <f>ROUND(('SSP Scenarios'!D25/'SSP Scenarios'!D$19)^2,5)</f>
        <v>1.1986399999999999</v>
      </c>
      <c r="U36" s="130">
        <f>ROUND(('SSP Scenarios'!E25/'SSP Scenarios'!E$19)^2,5)</f>
        <v>1.4834799999999999</v>
      </c>
      <c r="V36" s="130">
        <f>ROUND(('SSP Scenarios'!F25/'SSP Scenarios'!F$19)^2,5)</f>
        <v>2.0691799999999998</v>
      </c>
      <c r="W36" s="131">
        <f>ROUND(('SSP Scenarios'!G25/'SSP Scenarios'!G$19)^2,5)</f>
        <v>4.0675800000000004</v>
      </c>
      <c r="X36" s="106"/>
      <c r="Y36" s="16"/>
      <c r="Z36" s="26"/>
      <c r="AA36" s="55">
        <v>1993</v>
      </c>
      <c r="AB36" s="53">
        <v>13</v>
      </c>
      <c r="AC36" s="53">
        <v>4</v>
      </c>
      <c r="AD36" s="53">
        <v>2</v>
      </c>
      <c r="AE36" s="26"/>
      <c r="AF36" s="16"/>
    </row>
    <row r="37" spans="1:32">
      <c r="A37" s="16"/>
      <c r="B37" s="119">
        <f t="shared" si="16"/>
        <v>2090</v>
      </c>
      <c r="C37" s="119"/>
      <c r="D37" s="99">
        <f t="shared" si="12"/>
        <v>47.981999999999999</v>
      </c>
      <c r="E37" s="99">
        <f t="shared" si="12"/>
        <v>2.5129999999999999</v>
      </c>
      <c r="F37" s="99">
        <f t="shared" si="12"/>
        <v>1.371</v>
      </c>
      <c r="G37" s="99"/>
      <c r="H37" s="99">
        <f t="shared" si="13"/>
        <v>61.305</v>
      </c>
      <c r="I37" s="99">
        <f t="shared" si="13"/>
        <v>3.2109999999999999</v>
      </c>
      <c r="J37" s="99">
        <f t="shared" si="13"/>
        <v>1.752</v>
      </c>
      <c r="K37" s="99"/>
      <c r="L37" s="99">
        <f t="shared" si="14"/>
        <v>93.754000000000005</v>
      </c>
      <c r="M37" s="99">
        <f t="shared" si="14"/>
        <v>4.9109999999999996</v>
      </c>
      <c r="N37" s="99">
        <f t="shared" si="14"/>
        <v>2.6789999999999998</v>
      </c>
      <c r="O37" s="100"/>
      <c r="P37" s="99">
        <f t="shared" si="15"/>
        <v>224.113</v>
      </c>
      <c r="Q37" s="99">
        <f t="shared" si="15"/>
        <v>11.739000000000001</v>
      </c>
      <c r="R37" s="99">
        <f t="shared" si="15"/>
        <v>6.4029999999999996</v>
      </c>
      <c r="S37" s="110"/>
      <c r="T37" s="126">
        <f>ROUND(('SSP Scenarios'!D26/'SSP Scenarios'!D$19)^2,5)</f>
        <v>1.1424300000000001</v>
      </c>
      <c r="U37" s="127">
        <f>ROUND(('SSP Scenarios'!E26/'SSP Scenarios'!E$19)^2,5)</f>
        <v>1.4596499999999999</v>
      </c>
      <c r="V37" s="127">
        <f>ROUND(('SSP Scenarios'!F26/'SSP Scenarios'!F$19)^2,5)</f>
        <v>2.2322299999999999</v>
      </c>
      <c r="W37" s="128">
        <f>ROUND(('SSP Scenarios'!G26/'SSP Scenarios'!G$19)^2,5)</f>
        <v>5.3360200000000004</v>
      </c>
      <c r="X37" s="106"/>
      <c r="Y37" s="16"/>
      <c r="Z37" s="26"/>
      <c r="AA37" s="55">
        <v>1994</v>
      </c>
      <c r="AB37" s="53">
        <v>16</v>
      </c>
      <c r="AC37" s="53">
        <v>3</v>
      </c>
      <c r="AD37" s="53">
        <v>0</v>
      </c>
      <c r="AE37" s="26"/>
      <c r="AF37" s="16"/>
    </row>
    <row r="38" spans="1:32">
      <c r="A38" s="16"/>
      <c r="B38" s="120">
        <f t="shared" si="16"/>
        <v>2100</v>
      </c>
      <c r="C38" s="120"/>
      <c r="D38" s="117">
        <f t="shared" si="12"/>
        <v>45.646000000000001</v>
      </c>
      <c r="E38" s="117">
        <f t="shared" si="12"/>
        <v>2.391</v>
      </c>
      <c r="F38" s="117">
        <f t="shared" si="12"/>
        <v>1.304</v>
      </c>
      <c r="G38" s="117"/>
      <c r="H38" s="117">
        <f t="shared" si="13"/>
        <v>59.71</v>
      </c>
      <c r="I38" s="117">
        <f t="shared" si="13"/>
        <v>3.1280000000000001</v>
      </c>
      <c r="J38" s="117">
        <f t="shared" si="13"/>
        <v>1.706</v>
      </c>
      <c r="K38" s="117"/>
      <c r="L38" s="117">
        <f t="shared" si="14"/>
        <v>100.46899999999999</v>
      </c>
      <c r="M38" s="117">
        <f t="shared" si="14"/>
        <v>5.2629999999999999</v>
      </c>
      <c r="N38" s="117">
        <f t="shared" si="14"/>
        <v>2.871</v>
      </c>
      <c r="O38" s="118"/>
      <c r="P38" s="117">
        <f t="shared" si="15"/>
        <v>286.08</v>
      </c>
      <c r="Q38" s="117">
        <f t="shared" si="15"/>
        <v>14.984999999999999</v>
      </c>
      <c r="R38" s="117">
        <f t="shared" si="15"/>
        <v>8.1739999999999995</v>
      </c>
      <c r="S38" s="110"/>
      <c r="T38" s="129">
        <f>ROUND(('SSP Scenarios'!D27/'SSP Scenarios'!D$19)^2,5)</f>
        <v>1.0868100000000001</v>
      </c>
      <c r="U38" s="130">
        <f>ROUND(('SSP Scenarios'!E27/'SSP Scenarios'!E$19)^2,5)</f>
        <v>1.4216599999999999</v>
      </c>
      <c r="V38" s="130">
        <f>ROUND(('SSP Scenarios'!F27/'SSP Scenarios'!F$19)^2,5)</f>
        <v>2.3921199999999998</v>
      </c>
      <c r="W38" s="131">
        <f>ROUND(('SSP Scenarios'!G27/'SSP Scenarios'!G$19)^2,5)</f>
        <v>6.8114400000000002</v>
      </c>
      <c r="X38" s="106"/>
      <c r="Y38" s="16"/>
      <c r="Z38" s="26"/>
      <c r="AA38" s="55">
        <v>1995</v>
      </c>
      <c r="AB38" s="53">
        <v>14</v>
      </c>
      <c r="AC38" s="53">
        <v>4</v>
      </c>
      <c r="AD38" s="53">
        <v>3</v>
      </c>
      <c r="AE38" s="26"/>
      <c r="AF38" s="16"/>
    </row>
    <row r="39" spans="1:32">
      <c r="A39" s="16"/>
      <c r="B39" s="119">
        <f t="shared" si="16"/>
        <v>2110</v>
      </c>
      <c r="C39" s="119"/>
      <c r="D39" s="99">
        <f t="shared" si="12"/>
        <v>43.369</v>
      </c>
      <c r="E39" s="99">
        <f t="shared" si="12"/>
        <v>2.2719999999999998</v>
      </c>
      <c r="F39" s="99">
        <f t="shared" si="12"/>
        <v>1.2390000000000001</v>
      </c>
      <c r="G39" s="99"/>
      <c r="H39" s="99">
        <f t="shared" si="13"/>
        <v>58.134999999999998</v>
      </c>
      <c r="I39" s="99">
        <f t="shared" si="13"/>
        <v>3.0449999999999999</v>
      </c>
      <c r="J39" s="99">
        <f t="shared" si="13"/>
        <v>1.661</v>
      </c>
      <c r="K39" s="99"/>
      <c r="L39" s="99">
        <f t="shared" si="14"/>
        <v>107.416</v>
      </c>
      <c r="M39" s="99">
        <f t="shared" si="14"/>
        <v>5.6269999999999998</v>
      </c>
      <c r="N39" s="99">
        <f t="shared" si="14"/>
        <v>3.069</v>
      </c>
      <c r="O39" s="100"/>
      <c r="P39" s="99">
        <f t="shared" si="15"/>
        <v>355.60300000000001</v>
      </c>
      <c r="Q39" s="99">
        <f t="shared" si="15"/>
        <v>18.626999999999999</v>
      </c>
      <c r="R39" s="99">
        <f t="shared" si="15"/>
        <v>10.16</v>
      </c>
      <c r="S39" s="110"/>
      <c r="T39" s="126">
        <f>ROUND(('SSP Scenarios'!D28/'SSP Scenarios'!D$19)^2,5)</f>
        <v>1.0325899999999999</v>
      </c>
      <c r="U39" s="127">
        <f>ROUND(('SSP Scenarios'!E28/'SSP Scenarios'!E$19)^2,5)</f>
        <v>1.3841600000000001</v>
      </c>
      <c r="V39" s="127">
        <f>ROUND(('SSP Scenarios'!F28/'SSP Scenarios'!F$19)^2,5)</f>
        <v>2.5575299999999999</v>
      </c>
      <c r="W39" s="128">
        <f>ROUND(('SSP Scenarios'!G28/'SSP Scenarios'!G$19)^2,5)</f>
        <v>8.4667399999999997</v>
      </c>
      <c r="X39" s="106"/>
      <c r="Y39" s="16"/>
      <c r="Z39" s="26"/>
      <c r="AA39" s="55">
        <v>1996</v>
      </c>
      <c r="AB39" s="53">
        <v>16</v>
      </c>
      <c r="AC39" s="53">
        <v>2</v>
      </c>
      <c r="AD39" s="53">
        <v>1</v>
      </c>
      <c r="AE39" s="26"/>
      <c r="AF39" s="16"/>
    </row>
    <row r="40" spans="1:32" ht="15" customHeight="1">
      <c r="A40" s="16"/>
      <c r="B40" s="120">
        <f t="shared" si="16"/>
        <v>2120</v>
      </c>
      <c r="C40" s="120"/>
      <c r="D40" s="117">
        <f t="shared" si="12"/>
        <v>41.149000000000001</v>
      </c>
      <c r="E40" s="117">
        <f t="shared" si="12"/>
        <v>2.1549999999999998</v>
      </c>
      <c r="F40" s="117">
        <f t="shared" si="12"/>
        <v>1.1759999999999999</v>
      </c>
      <c r="G40" s="117"/>
      <c r="H40" s="117">
        <f t="shared" si="13"/>
        <v>56.581000000000003</v>
      </c>
      <c r="I40" s="117">
        <f t="shared" si="13"/>
        <v>2.964</v>
      </c>
      <c r="J40" s="117">
        <f t="shared" si="13"/>
        <v>1.617</v>
      </c>
      <c r="K40" s="117"/>
      <c r="L40" s="117">
        <f t="shared" si="14"/>
        <v>114.596</v>
      </c>
      <c r="M40" s="117">
        <f t="shared" si="14"/>
        <v>6.0030000000000001</v>
      </c>
      <c r="N40" s="117">
        <f t="shared" si="14"/>
        <v>3.274</v>
      </c>
      <c r="O40" s="118"/>
      <c r="P40" s="117">
        <f t="shared" si="15"/>
        <v>432.68</v>
      </c>
      <c r="Q40" s="117">
        <f t="shared" si="15"/>
        <v>22.664000000000001</v>
      </c>
      <c r="R40" s="117">
        <f t="shared" si="15"/>
        <v>12.362</v>
      </c>
      <c r="S40" s="110"/>
      <c r="T40" s="129">
        <f>ROUND(('SSP Scenarios'!D29/'SSP Scenarios'!D$19)^2,5)</f>
        <v>0.97974000000000006</v>
      </c>
      <c r="U40" s="130">
        <f>ROUND(('SSP Scenarios'!E29/'SSP Scenarios'!E$19)^2,5)</f>
        <v>1.34717</v>
      </c>
      <c r="V40" s="130">
        <f>ROUND(('SSP Scenarios'!F29/'SSP Scenarios'!F$19)^2,5)</f>
        <v>2.7284700000000002</v>
      </c>
      <c r="W40" s="131">
        <f>ROUND(('SSP Scenarios'!G29/'SSP Scenarios'!G$19)^2,5)</f>
        <v>10.301909999999999</v>
      </c>
      <c r="X40" s="106"/>
      <c r="Y40" s="16"/>
      <c r="Z40" s="26"/>
      <c r="AA40" s="55">
        <v>1997</v>
      </c>
      <c r="AB40" s="53">
        <v>3</v>
      </c>
      <c r="AC40" s="53">
        <v>2</v>
      </c>
      <c r="AD40" s="53">
        <v>0</v>
      </c>
      <c r="AE40" s="26"/>
      <c r="AF40" s="16"/>
    </row>
    <row r="41" spans="1:32">
      <c r="A41" s="16"/>
      <c r="B41" s="119">
        <f t="shared" si="16"/>
        <v>2130</v>
      </c>
      <c r="C41" s="119"/>
      <c r="D41" s="99">
        <f t="shared" si="12"/>
        <v>39.103999999999999</v>
      </c>
      <c r="E41" s="99">
        <f t="shared" si="12"/>
        <v>2.048</v>
      </c>
      <c r="F41" s="99">
        <f t="shared" si="12"/>
        <v>1.117</v>
      </c>
      <c r="G41" s="99"/>
      <c r="H41" s="99">
        <f t="shared" si="13"/>
        <v>55.048000000000002</v>
      </c>
      <c r="I41" s="99">
        <f t="shared" si="13"/>
        <v>2.883</v>
      </c>
      <c r="J41" s="99">
        <f t="shared" si="13"/>
        <v>1.573</v>
      </c>
      <c r="K41" s="99"/>
      <c r="L41" s="99">
        <f t="shared" si="14"/>
        <v>122.008</v>
      </c>
      <c r="M41" s="99">
        <f t="shared" si="14"/>
        <v>6.391</v>
      </c>
      <c r="N41" s="99">
        <f t="shared" si="14"/>
        <v>3.4860000000000002</v>
      </c>
      <c r="O41" s="100"/>
      <c r="P41" s="99">
        <f t="shared" si="15"/>
        <v>517.31200000000001</v>
      </c>
      <c r="Q41" s="99">
        <f t="shared" si="15"/>
        <v>27.097000000000001</v>
      </c>
      <c r="R41" s="99">
        <f t="shared" si="15"/>
        <v>14.78</v>
      </c>
      <c r="S41" s="110"/>
      <c r="T41" s="126">
        <f>ROUND(('SSP Scenarios'!D30/'SSP Scenarios'!D$19)^2,5)</f>
        <v>0.93103999999999998</v>
      </c>
      <c r="U41" s="127">
        <f>ROUND(('SSP Scenarios'!E30/'SSP Scenarios'!E$19)^2,5)</f>
        <v>1.31067</v>
      </c>
      <c r="V41" s="127">
        <f>ROUND(('SSP Scenarios'!F30/'SSP Scenarios'!F$19)^2,5)</f>
        <v>2.9049499999999999</v>
      </c>
      <c r="W41" s="128">
        <f>ROUND(('SSP Scenarios'!G30/'SSP Scenarios'!G$19)^2,5)</f>
        <v>12.31695</v>
      </c>
      <c r="X41" s="106"/>
      <c r="Y41" s="16"/>
      <c r="Z41" s="26"/>
      <c r="AA41" s="55">
        <v>1998</v>
      </c>
      <c r="AB41" s="53">
        <v>4</v>
      </c>
      <c r="AC41" s="53">
        <v>1</v>
      </c>
      <c r="AD41" s="53">
        <v>0</v>
      </c>
      <c r="AE41" s="26"/>
      <c r="AF41" s="16"/>
    </row>
    <row r="42" spans="1:32">
      <c r="A42" s="16"/>
      <c r="B42" s="120">
        <f t="shared" si="16"/>
        <v>2140</v>
      </c>
      <c r="C42" s="120"/>
      <c r="D42" s="117">
        <f t="shared" si="12"/>
        <v>39.103999999999999</v>
      </c>
      <c r="E42" s="117">
        <f t="shared" si="12"/>
        <v>2.048</v>
      </c>
      <c r="F42" s="117">
        <f t="shared" si="12"/>
        <v>1.117</v>
      </c>
      <c r="G42" s="117"/>
      <c r="H42" s="117">
        <f t="shared" si="13"/>
        <v>53.536999999999999</v>
      </c>
      <c r="I42" s="117">
        <f t="shared" si="13"/>
        <v>2.8039999999999998</v>
      </c>
      <c r="J42" s="117">
        <f t="shared" si="13"/>
        <v>1.53</v>
      </c>
      <c r="K42" s="117"/>
      <c r="L42" s="117">
        <f t="shared" si="14"/>
        <v>129.65199999999999</v>
      </c>
      <c r="M42" s="117">
        <f t="shared" si="14"/>
        <v>6.7910000000000004</v>
      </c>
      <c r="N42" s="117">
        <f t="shared" si="14"/>
        <v>3.7040000000000002</v>
      </c>
      <c r="O42" s="118"/>
      <c r="P42" s="117">
        <f t="shared" si="15"/>
        <v>609.49800000000005</v>
      </c>
      <c r="Q42" s="117">
        <f t="shared" si="15"/>
        <v>31.925999999999998</v>
      </c>
      <c r="R42" s="117">
        <f t="shared" si="15"/>
        <v>17.414000000000001</v>
      </c>
      <c r="S42" s="110"/>
      <c r="T42" s="129">
        <f>ROUND(('SSP Scenarios'!D31/'SSP Scenarios'!D$19)^2,5)</f>
        <v>0.93103999999999998</v>
      </c>
      <c r="U42" s="130">
        <f>ROUND(('SSP Scenarios'!E31/'SSP Scenarios'!E$19)^2,5)</f>
        <v>1.27468</v>
      </c>
      <c r="V42" s="130">
        <f>ROUND(('SSP Scenarios'!F31/'SSP Scenarios'!F$19)^2,5)</f>
        <v>3.0869499999999999</v>
      </c>
      <c r="W42" s="131">
        <f>ROUND(('SSP Scenarios'!G31/'SSP Scenarios'!G$19)^2,5)</f>
        <v>14.511850000000001</v>
      </c>
      <c r="X42" s="106"/>
      <c r="Y42" s="16"/>
      <c r="Z42" s="26"/>
      <c r="AA42" s="55">
        <v>1999</v>
      </c>
      <c r="AB42" s="53">
        <v>5</v>
      </c>
      <c r="AC42" s="53">
        <v>1</v>
      </c>
      <c r="AD42" s="53">
        <v>1</v>
      </c>
      <c r="AE42" s="26"/>
      <c r="AF42" s="16"/>
    </row>
    <row r="43" spans="1:32">
      <c r="A43" s="16"/>
      <c r="B43" s="119">
        <f t="shared" si="16"/>
        <v>2150</v>
      </c>
      <c r="C43" s="119"/>
      <c r="D43" s="99">
        <f t="shared" si="12"/>
        <v>39.103999999999999</v>
      </c>
      <c r="E43" s="99">
        <f t="shared" si="12"/>
        <v>2.048</v>
      </c>
      <c r="F43" s="99">
        <f t="shared" si="12"/>
        <v>1.117</v>
      </c>
      <c r="G43" s="99"/>
      <c r="H43" s="99">
        <f t="shared" si="13"/>
        <v>52.045999999999999</v>
      </c>
      <c r="I43" s="99">
        <f>ROUND(I$21*$U43,3)</f>
        <v>2.726</v>
      </c>
      <c r="J43" s="99">
        <f t="shared" si="13"/>
        <v>1.4870000000000001</v>
      </c>
      <c r="K43" s="99"/>
      <c r="L43" s="99">
        <f t="shared" si="14"/>
        <v>137.52799999999999</v>
      </c>
      <c r="M43" s="99">
        <f t="shared" si="14"/>
        <v>7.2039999999999997</v>
      </c>
      <c r="N43" s="99">
        <f t="shared" si="14"/>
        <v>3.9289999999999998</v>
      </c>
      <c r="O43" s="100"/>
      <c r="P43" s="99">
        <f t="shared" si="15"/>
        <v>709.23800000000006</v>
      </c>
      <c r="Q43" s="99">
        <f t="shared" si="15"/>
        <v>37.151000000000003</v>
      </c>
      <c r="R43" s="99">
        <f t="shared" si="15"/>
        <v>20.263999999999999</v>
      </c>
      <c r="S43" s="110"/>
      <c r="T43" s="132">
        <f>ROUND(('SSP Scenarios'!D32/'SSP Scenarios'!D$19)^2,5)</f>
        <v>0.93103999999999998</v>
      </c>
      <c r="U43" s="133">
        <f>ROUND(('SSP Scenarios'!E32/'SSP Scenarios'!E$19)^2,5)</f>
        <v>1.23919</v>
      </c>
      <c r="V43" s="133">
        <f>ROUND(('SSP Scenarios'!F32/'SSP Scenarios'!F$19)^2,5)</f>
        <v>3.2744800000000001</v>
      </c>
      <c r="W43" s="134">
        <f>ROUND(('SSP Scenarios'!G32/'SSP Scenarios'!G$19)^2,5)</f>
        <v>16.88663</v>
      </c>
      <c r="X43" s="106"/>
      <c r="Y43" s="16"/>
      <c r="Z43" s="26"/>
      <c r="AA43" s="55">
        <v>2000</v>
      </c>
      <c r="AB43" s="53">
        <v>4</v>
      </c>
      <c r="AC43" s="53">
        <v>1</v>
      </c>
      <c r="AD43" s="53">
        <v>1</v>
      </c>
      <c r="AE43" s="26"/>
      <c r="AF43" s="16"/>
    </row>
    <row r="44" spans="1:32">
      <c r="A44" s="16"/>
      <c r="B44" s="16"/>
      <c r="C44" s="16"/>
      <c r="D44" s="97"/>
      <c r="E44" s="97"/>
      <c r="F44" s="97"/>
      <c r="G44" s="97"/>
      <c r="H44" s="97"/>
      <c r="I44" s="97"/>
      <c r="J44" s="97"/>
      <c r="K44" s="97"/>
      <c r="L44" s="97"/>
      <c r="M44" s="97"/>
      <c r="N44" s="97"/>
      <c r="O44" s="98"/>
      <c r="P44" s="97"/>
      <c r="Q44" s="97"/>
      <c r="R44" s="97"/>
      <c r="S44" s="113"/>
      <c r="T44" s="114"/>
      <c r="U44" s="114"/>
      <c r="V44" s="114"/>
      <c r="W44" s="114"/>
      <c r="X44" s="115"/>
      <c r="Y44" s="56"/>
      <c r="Z44" s="26"/>
      <c r="AA44" s="55">
        <v>2001</v>
      </c>
      <c r="AB44" s="53">
        <v>0</v>
      </c>
      <c r="AC44" s="53">
        <v>0</v>
      </c>
      <c r="AD44" s="53">
        <v>0</v>
      </c>
      <c r="AE44" s="26"/>
      <c r="AF44" s="16"/>
    </row>
    <row r="45" spans="1:32">
      <c r="A45" s="16"/>
      <c r="Y45" s="16"/>
      <c r="Z45" s="26"/>
      <c r="AA45" s="55">
        <v>2002</v>
      </c>
      <c r="AB45" s="53">
        <v>9</v>
      </c>
      <c r="AC45" s="53">
        <v>2</v>
      </c>
      <c r="AD45" s="53">
        <v>1</v>
      </c>
      <c r="AE45" s="26"/>
      <c r="AF45" s="16"/>
    </row>
    <row r="46" spans="1:32">
      <c r="A46" s="16"/>
      <c r="B46" s="16"/>
      <c r="C46" s="16"/>
      <c r="D46" s="16"/>
      <c r="E46" s="16"/>
      <c r="F46" s="16"/>
      <c r="G46" s="16"/>
      <c r="H46" s="16"/>
      <c r="I46" s="16"/>
      <c r="J46" s="16"/>
      <c r="K46" s="16"/>
      <c r="L46" s="16"/>
      <c r="M46" s="16"/>
      <c r="N46" s="16"/>
      <c r="O46" s="16"/>
      <c r="P46" s="16"/>
      <c r="Q46" s="16"/>
      <c r="R46" s="17"/>
      <c r="S46" s="17"/>
      <c r="T46" s="17"/>
      <c r="U46" s="17"/>
      <c r="V46" s="17"/>
      <c r="W46" s="17"/>
      <c r="X46" s="17"/>
      <c r="Y46" s="16"/>
      <c r="Z46" s="26"/>
      <c r="AA46" s="55">
        <v>2003</v>
      </c>
      <c r="AB46" s="53">
        <v>9</v>
      </c>
      <c r="AC46" s="53">
        <v>3</v>
      </c>
      <c r="AD46" s="53">
        <v>1</v>
      </c>
      <c r="AE46" s="26"/>
      <c r="AF46" s="16"/>
    </row>
    <row r="47" spans="1:32">
      <c r="A47" s="16"/>
      <c r="B47" s="16"/>
      <c r="C47" s="16"/>
      <c r="D47" s="16"/>
      <c r="E47" s="16"/>
      <c r="F47" s="16"/>
      <c r="G47" s="16"/>
      <c r="H47" s="16"/>
      <c r="I47" s="16"/>
      <c r="J47" s="16"/>
      <c r="K47" s="16"/>
      <c r="L47" s="16"/>
      <c r="M47" s="16"/>
      <c r="N47" s="16"/>
      <c r="O47" s="16"/>
      <c r="P47" s="16"/>
      <c r="Q47" s="16"/>
      <c r="R47" s="17"/>
      <c r="S47" s="17"/>
      <c r="T47" s="17"/>
      <c r="U47" s="17"/>
      <c r="V47" s="17"/>
      <c r="W47" s="17"/>
      <c r="X47" s="17"/>
      <c r="Y47" s="16"/>
      <c r="Z47" s="26"/>
      <c r="AA47" s="55">
        <v>2004</v>
      </c>
      <c r="AB47" s="53">
        <v>12</v>
      </c>
      <c r="AC47" s="53">
        <v>1</v>
      </c>
      <c r="AD47" s="53">
        <v>1</v>
      </c>
      <c r="AE47" s="26"/>
      <c r="AF47" s="16"/>
    </row>
    <row r="48" spans="1:32">
      <c r="A48" s="16"/>
      <c r="B48" s="16"/>
      <c r="C48" s="16"/>
      <c r="D48" s="16"/>
      <c r="E48" s="16"/>
      <c r="F48" s="16"/>
      <c r="G48" s="16"/>
      <c r="H48" s="16"/>
      <c r="I48" s="16"/>
      <c r="J48" s="16"/>
      <c r="K48" s="16"/>
      <c r="L48" s="16"/>
      <c r="M48" s="16"/>
      <c r="N48" s="16"/>
      <c r="O48" s="16"/>
      <c r="P48" s="16"/>
      <c r="Q48" s="16"/>
      <c r="R48" s="17"/>
      <c r="S48" s="17"/>
      <c r="T48" s="17"/>
      <c r="U48" s="17"/>
      <c r="V48" s="17"/>
      <c r="W48" s="17"/>
      <c r="X48" s="17"/>
      <c r="Y48" s="16"/>
      <c r="Z48" s="26"/>
      <c r="AA48" s="55">
        <v>2005</v>
      </c>
      <c r="AB48" s="53">
        <v>4</v>
      </c>
      <c r="AC48" s="53">
        <v>3</v>
      </c>
      <c r="AD48" s="53">
        <v>0</v>
      </c>
      <c r="AE48" s="26"/>
      <c r="AF48" s="16"/>
    </row>
    <row r="49" spans="1:32">
      <c r="A49" s="16"/>
      <c r="B49" s="16"/>
      <c r="C49" s="16"/>
      <c r="D49" s="16"/>
      <c r="E49" s="16"/>
      <c r="F49" s="16"/>
      <c r="G49" s="16"/>
      <c r="H49" s="16"/>
      <c r="I49" s="16"/>
      <c r="J49" s="16"/>
      <c r="K49" s="16"/>
      <c r="L49" s="16"/>
      <c r="M49" s="16"/>
      <c r="N49" s="16"/>
      <c r="O49" s="16"/>
      <c r="P49" s="16"/>
      <c r="Q49" s="16"/>
      <c r="R49" s="17"/>
      <c r="S49" s="17"/>
      <c r="T49" s="17"/>
      <c r="U49" s="17"/>
      <c r="V49" s="17"/>
      <c r="W49" s="17"/>
      <c r="X49" s="17"/>
      <c r="Y49" s="16"/>
      <c r="Z49" s="26"/>
      <c r="AA49" s="55">
        <v>2006</v>
      </c>
      <c r="AB49" s="53">
        <v>2</v>
      </c>
      <c r="AC49" s="53">
        <v>0</v>
      </c>
      <c r="AD49" s="53">
        <v>0</v>
      </c>
      <c r="AE49" s="26"/>
      <c r="AF49" s="16"/>
    </row>
    <row r="50" spans="1:32">
      <c r="A50" s="16"/>
      <c r="B50" s="16"/>
      <c r="C50" s="16"/>
      <c r="D50" s="16"/>
      <c r="E50" s="16"/>
      <c r="F50" s="16"/>
      <c r="G50" s="16"/>
      <c r="H50" s="16"/>
      <c r="I50" s="16"/>
      <c r="J50" s="16"/>
      <c r="K50" s="16"/>
      <c r="L50" s="16"/>
      <c r="M50" s="16"/>
      <c r="N50" s="16"/>
      <c r="O50" s="16"/>
      <c r="P50" s="16"/>
      <c r="Q50" s="16"/>
      <c r="R50" s="17"/>
      <c r="S50" s="17"/>
      <c r="T50" s="17"/>
      <c r="U50" s="17"/>
      <c r="V50" s="17"/>
      <c r="W50" s="17"/>
      <c r="X50" s="17"/>
      <c r="Y50" s="16"/>
      <c r="Z50" s="26"/>
      <c r="AA50" s="55">
        <v>2007</v>
      </c>
      <c r="AB50" s="53">
        <v>5</v>
      </c>
      <c r="AC50" s="53">
        <v>0</v>
      </c>
      <c r="AD50" s="53">
        <v>1</v>
      </c>
      <c r="AE50" s="26"/>
      <c r="AF50" s="16"/>
    </row>
    <row r="51" spans="1:32">
      <c r="A51" s="16"/>
      <c r="B51" s="243" t="s">
        <v>194</v>
      </c>
      <c r="C51" s="243"/>
      <c r="D51" s="243"/>
      <c r="E51" s="243"/>
      <c r="F51" s="243"/>
      <c r="G51" s="243"/>
      <c r="H51" s="243"/>
      <c r="I51" s="243"/>
      <c r="J51" s="243"/>
      <c r="K51" s="243"/>
      <c r="L51" s="243"/>
      <c r="M51" s="243"/>
      <c r="N51" s="243"/>
      <c r="O51" s="243"/>
      <c r="P51" s="243"/>
      <c r="Q51" s="243"/>
      <c r="R51" s="243"/>
      <c r="S51" s="243"/>
      <c r="T51" s="243"/>
      <c r="U51" s="243"/>
      <c r="V51" s="243"/>
      <c r="W51" s="243"/>
      <c r="X51" s="17"/>
      <c r="Y51" s="16"/>
      <c r="Z51" s="26"/>
      <c r="AA51" s="55">
        <v>2008</v>
      </c>
      <c r="AB51" s="53">
        <v>2</v>
      </c>
      <c r="AC51" s="53">
        <v>1</v>
      </c>
      <c r="AD51" s="53">
        <v>1</v>
      </c>
      <c r="AE51" s="26"/>
      <c r="AF51" s="16"/>
    </row>
    <row r="52" spans="1:32">
      <c r="A52" s="16"/>
      <c r="B52" s="243"/>
      <c r="C52" s="243"/>
      <c r="D52" s="243"/>
      <c r="E52" s="243"/>
      <c r="F52" s="243"/>
      <c r="G52" s="243"/>
      <c r="H52" s="243"/>
      <c r="I52" s="243"/>
      <c r="J52" s="243"/>
      <c r="K52" s="243"/>
      <c r="L52" s="243"/>
      <c r="M52" s="243"/>
      <c r="N52" s="243"/>
      <c r="O52" s="243"/>
      <c r="P52" s="243"/>
      <c r="Q52" s="243"/>
      <c r="R52" s="243"/>
      <c r="S52" s="243"/>
      <c r="T52" s="243"/>
      <c r="U52" s="243"/>
      <c r="V52" s="243"/>
      <c r="W52" s="243"/>
      <c r="X52" s="17"/>
      <c r="Y52" s="16"/>
      <c r="Z52" s="26"/>
      <c r="AA52" s="55">
        <v>2009</v>
      </c>
      <c r="AB52" s="53">
        <v>1</v>
      </c>
      <c r="AC52" s="53">
        <v>1</v>
      </c>
      <c r="AD52" s="53">
        <v>0</v>
      </c>
      <c r="AE52" s="26"/>
      <c r="AF52" s="16"/>
    </row>
    <row r="53" spans="1:32">
      <c r="A53" s="16"/>
      <c r="B53" s="243"/>
      <c r="C53" s="243"/>
      <c r="D53" s="243"/>
      <c r="E53" s="243"/>
      <c r="F53" s="243"/>
      <c r="G53" s="243"/>
      <c r="H53" s="243"/>
      <c r="I53" s="243"/>
      <c r="J53" s="243"/>
      <c r="K53" s="243"/>
      <c r="L53" s="243"/>
      <c r="M53" s="243"/>
      <c r="N53" s="243"/>
      <c r="O53" s="243"/>
      <c r="P53" s="243"/>
      <c r="Q53" s="243"/>
      <c r="R53" s="243"/>
      <c r="S53" s="243"/>
      <c r="T53" s="243"/>
      <c r="U53" s="243"/>
      <c r="V53" s="243"/>
      <c r="W53" s="243"/>
      <c r="X53" s="17"/>
      <c r="Y53" s="16"/>
      <c r="Z53" s="26"/>
      <c r="AA53" s="55">
        <v>2010</v>
      </c>
      <c r="AB53" s="53">
        <v>1</v>
      </c>
      <c r="AC53" s="53">
        <v>0</v>
      </c>
      <c r="AD53" s="53">
        <v>0</v>
      </c>
      <c r="AE53" s="26"/>
      <c r="AF53" s="16"/>
    </row>
    <row r="54" spans="1:32">
      <c r="A54" s="16"/>
      <c r="B54" s="243"/>
      <c r="C54" s="243"/>
      <c r="D54" s="243"/>
      <c r="E54" s="243"/>
      <c r="F54" s="243"/>
      <c r="G54" s="243"/>
      <c r="H54" s="243"/>
      <c r="I54" s="243"/>
      <c r="J54" s="243"/>
      <c r="K54" s="243"/>
      <c r="L54" s="243"/>
      <c r="M54" s="243"/>
      <c r="N54" s="243"/>
      <c r="O54" s="243"/>
      <c r="P54" s="243"/>
      <c r="Q54" s="243"/>
      <c r="R54" s="243"/>
      <c r="S54" s="243"/>
      <c r="T54" s="243"/>
      <c r="U54" s="243"/>
      <c r="V54" s="243"/>
      <c r="W54" s="243"/>
      <c r="X54" s="17"/>
      <c r="Y54" s="16"/>
      <c r="Z54" s="26"/>
      <c r="AA54" s="55">
        <v>2011</v>
      </c>
      <c r="AB54" s="53">
        <v>1</v>
      </c>
      <c r="AC54" s="53">
        <v>0</v>
      </c>
      <c r="AD54" s="53">
        <v>0</v>
      </c>
      <c r="AE54" s="26"/>
      <c r="AF54" s="16"/>
    </row>
    <row r="55" spans="1:32">
      <c r="A55" s="16"/>
      <c r="B55" s="243"/>
      <c r="C55" s="243"/>
      <c r="D55" s="243"/>
      <c r="E55" s="243"/>
      <c r="F55" s="243"/>
      <c r="G55" s="243"/>
      <c r="H55" s="243"/>
      <c r="I55" s="243"/>
      <c r="J55" s="243"/>
      <c r="K55" s="243"/>
      <c r="L55" s="243"/>
      <c r="M55" s="243"/>
      <c r="N55" s="243"/>
      <c r="O55" s="243"/>
      <c r="P55" s="243"/>
      <c r="Q55" s="243"/>
      <c r="R55" s="243"/>
      <c r="S55" s="243"/>
      <c r="T55" s="243"/>
      <c r="U55" s="243"/>
      <c r="V55" s="243"/>
      <c r="W55" s="243"/>
      <c r="X55" s="17"/>
      <c r="Y55" s="16"/>
      <c r="Z55" s="26"/>
      <c r="AA55" s="55">
        <v>2012</v>
      </c>
      <c r="AB55" s="53">
        <v>1</v>
      </c>
      <c r="AC55" s="53">
        <v>0</v>
      </c>
      <c r="AD55" s="53">
        <v>0</v>
      </c>
      <c r="AE55" s="26"/>
      <c r="AF55" s="16"/>
    </row>
    <row r="56" spans="1:32">
      <c r="A56" s="16"/>
      <c r="B56" s="244" t="s">
        <v>195</v>
      </c>
      <c r="C56" s="244"/>
      <c r="D56" s="244"/>
      <c r="E56" s="244"/>
      <c r="F56" s="244"/>
      <c r="G56" s="244"/>
      <c r="H56" s="244"/>
      <c r="I56" s="244"/>
      <c r="J56" s="244"/>
      <c r="K56" s="244"/>
      <c r="L56" s="244"/>
      <c r="M56" s="244"/>
      <c r="N56" s="244"/>
      <c r="O56" s="244"/>
      <c r="P56" s="244"/>
      <c r="Q56" s="244"/>
      <c r="R56" s="244"/>
      <c r="S56" s="244"/>
      <c r="T56" s="244"/>
      <c r="U56" s="244"/>
      <c r="V56" s="244"/>
      <c r="W56" s="244"/>
      <c r="X56" s="17"/>
      <c r="Y56" s="16"/>
      <c r="Z56" s="26"/>
      <c r="AA56" s="55">
        <v>2013</v>
      </c>
      <c r="AB56" s="53">
        <v>2</v>
      </c>
      <c r="AC56" s="53">
        <v>0</v>
      </c>
      <c r="AD56" s="53">
        <v>1</v>
      </c>
      <c r="AE56" s="26"/>
      <c r="AF56" s="16"/>
    </row>
    <row r="57" spans="1:32">
      <c r="A57" s="16"/>
      <c r="B57" s="16"/>
      <c r="C57" s="16"/>
      <c r="D57" s="16"/>
      <c r="E57" s="16"/>
      <c r="F57" s="16"/>
      <c r="G57" s="16"/>
      <c r="H57" s="16"/>
      <c r="I57" s="16"/>
      <c r="J57" s="16"/>
      <c r="K57" s="16"/>
      <c r="L57" s="16"/>
      <c r="M57" s="16"/>
      <c r="N57" s="16"/>
      <c r="O57" s="16"/>
      <c r="P57" s="16"/>
      <c r="Q57" s="16"/>
      <c r="R57" s="17"/>
      <c r="S57" s="17"/>
      <c r="T57" s="17"/>
      <c r="U57" s="17"/>
      <c r="V57" s="17"/>
      <c r="W57" s="17"/>
      <c r="X57" s="17"/>
      <c r="Y57" s="16"/>
      <c r="Z57" s="26"/>
      <c r="AA57" s="55">
        <v>2014</v>
      </c>
      <c r="AB57" s="53">
        <v>5</v>
      </c>
      <c r="AC57" s="53">
        <v>2</v>
      </c>
      <c r="AD57" s="53">
        <v>1</v>
      </c>
      <c r="AE57" s="26"/>
      <c r="AF57" s="16"/>
    </row>
    <row r="58" spans="1:32" ht="15" customHeight="1">
      <c r="A58" s="16"/>
      <c r="B58" s="16"/>
      <c r="C58" s="16"/>
      <c r="D58" s="16"/>
      <c r="E58" s="16"/>
      <c r="F58" s="16"/>
      <c r="G58" s="16"/>
      <c r="H58" s="16"/>
      <c r="I58" s="16"/>
      <c r="J58" s="16"/>
      <c r="K58" s="16"/>
      <c r="L58" s="16"/>
      <c r="M58" s="16"/>
      <c r="N58" s="16"/>
      <c r="O58" s="16"/>
      <c r="P58" s="16"/>
      <c r="Q58" s="16"/>
      <c r="R58" s="17"/>
      <c r="S58" s="17"/>
      <c r="T58" s="17"/>
      <c r="U58" s="17"/>
      <c r="V58" s="17"/>
      <c r="W58" s="17"/>
      <c r="X58" s="17"/>
      <c r="Y58" s="16"/>
      <c r="Z58" s="26"/>
      <c r="AA58" s="55">
        <v>2015</v>
      </c>
      <c r="AB58" s="53">
        <v>8</v>
      </c>
      <c r="AC58" s="53">
        <v>1</v>
      </c>
      <c r="AD58" s="53">
        <v>0</v>
      </c>
      <c r="AE58" s="26"/>
      <c r="AF58" s="16"/>
    </row>
    <row r="59" spans="1:32">
      <c r="A59" s="16"/>
      <c r="B59" s="16"/>
      <c r="C59" s="16"/>
      <c r="D59" s="16"/>
      <c r="E59" s="16"/>
      <c r="F59" s="16"/>
      <c r="G59" s="16"/>
      <c r="H59" s="16"/>
      <c r="I59" s="16"/>
      <c r="J59" s="16"/>
      <c r="K59" s="16"/>
      <c r="L59" s="16"/>
      <c r="M59" s="16"/>
      <c r="N59" s="16"/>
      <c r="O59" s="16"/>
      <c r="P59" s="16"/>
      <c r="Q59" s="16"/>
      <c r="R59" s="17"/>
      <c r="S59" s="17"/>
      <c r="T59" s="17"/>
      <c r="U59" s="17"/>
      <c r="V59" s="17"/>
      <c r="W59" s="17"/>
      <c r="X59" s="17"/>
      <c r="Y59" s="16"/>
      <c r="Z59" s="26"/>
      <c r="AA59" s="55">
        <v>2016</v>
      </c>
      <c r="AB59" s="53">
        <v>1</v>
      </c>
      <c r="AC59" s="53">
        <v>1</v>
      </c>
      <c r="AD59" s="53">
        <v>1</v>
      </c>
      <c r="AE59" s="26"/>
      <c r="AF59" s="16"/>
    </row>
    <row r="60" spans="1:32">
      <c r="A60" s="16"/>
      <c r="B60" s="16"/>
      <c r="C60" s="16"/>
      <c r="D60" s="16"/>
      <c r="E60" s="16"/>
      <c r="F60" s="16"/>
      <c r="G60" s="16"/>
      <c r="H60" s="16"/>
      <c r="I60" s="16"/>
      <c r="J60" s="16"/>
      <c r="K60" s="16"/>
      <c r="L60" s="16"/>
      <c r="M60" s="16"/>
      <c r="N60" s="16"/>
      <c r="O60" s="16"/>
      <c r="P60" s="16"/>
      <c r="Q60" s="16"/>
      <c r="R60" s="17"/>
      <c r="S60" s="17"/>
      <c r="T60" s="17"/>
      <c r="U60" s="17"/>
      <c r="V60" s="17"/>
      <c r="W60" s="17"/>
      <c r="X60" s="17"/>
      <c r="Y60" s="16"/>
      <c r="Z60" s="26"/>
      <c r="AA60" s="55">
        <v>2017</v>
      </c>
      <c r="AB60" s="53">
        <v>13</v>
      </c>
      <c r="AC60" s="53">
        <v>2</v>
      </c>
      <c r="AD60" s="53">
        <v>0</v>
      </c>
      <c r="AE60" s="26"/>
      <c r="AF60" s="16"/>
    </row>
    <row r="61" spans="1:32">
      <c r="A61" s="16"/>
      <c r="B61" s="16"/>
      <c r="C61" s="16"/>
      <c r="D61" s="16"/>
      <c r="E61" s="16"/>
      <c r="F61" s="16"/>
      <c r="G61" s="16"/>
      <c r="H61" s="16"/>
      <c r="I61" s="16"/>
      <c r="J61" s="16"/>
      <c r="K61" s="16"/>
      <c r="L61" s="16"/>
      <c r="M61" s="16"/>
      <c r="N61" s="16"/>
      <c r="O61" s="16"/>
      <c r="P61" s="16"/>
      <c r="Q61" s="16"/>
      <c r="R61" s="17"/>
      <c r="S61" s="17"/>
      <c r="T61" s="17"/>
      <c r="U61" s="17"/>
      <c r="V61" s="17"/>
      <c r="W61" s="17"/>
      <c r="X61" s="17"/>
      <c r="Y61" s="16"/>
      <c r="Z61" s="26"/>
      <c r="AA61" s="55">
        <v>2018</v>
      </c>
      <c r="AB61" s="53">
        <v>6</v>
      </c>
      <c r="AC61" s="53">
        <v>0</v>
      </c>
      <c r="AD61" s="53">
        <v>0</v>
      </c>
      <c r="AE61" s="26"/>
      <c r="AF61" s="16"/>
    </row>
    <row r="62" spans="1:32">
      <c r="A62" s="16"/>
      <c r="B62" s="16"/>
      <c r="C62" s="16"/>
      <c r="D62" s="16"/>
      <c r="E62" s="16"/>
      <c r="F62" s="16"/>
      <c r="G62" s="16"/>
      <c r="H62" s="16"/>
      <c r="I62" s="16"/>
      <c r="J62" s="16"/>
      <c r="K62" s="16"/>
      <c r="L62" s="16"/>
      <c r="M62" s="16"/>
      <c r="N62" s="16"/>
      <c r="O62" s="16"/>
      <c r="P62" s="16"/>
      <c r="Q62" s="16"/>
      <c r="R62" s="17"/>
      <c r="S62" s="17"/>
      <c r="T62" s="17"/>
      <c r="U62" s="17"/>
      <c r="V62" s="17"/>
      <c r="W62" s="17"/>
      <c r="X62" s="17"/>
      <c r="Y62" s="16"/>
      <c r="Z62" s="26"/>
      <c r="AA62" s="55">
        <v>2019</v>
      </c>
      <c r="AB62" s="53">
        <v>0</v>
      </c>
      <c r="AC62" s="53">
        <v>1</v>
      </c>
      <c r="AD62" s="53">
        <v>0</v>
      </c>
      <c r="AE62" s="26"/>
      <c r="AF62" s="16"/>
    </row>
    <row r="63" spans="1:32">
      <c r="A63" s="16"/>
      <c r="B63" s="16"/>
      <c r="C63" s="16"/>
      <c r="D63" s="16"/>
      <c r="E63" s="16"/>
      <c r="F63" s="16"/>
      <c r="G63" s="16"/>
      <c r="H63" s="16"/>
      <c r="I63" s="16"/>
      <c r="J63" s="16"/>
      <c r="K63" s="16"/>
      <c r="L63" s="16"/>
      <c r="M63" s="16"/>
      <c r="N63" s="16"/>
      <c r="O63" s="16"/>
      <c r="P63" s="16"/>
      <c r="Q63" s="16"/>
      <c r="R63" s="17"/>
      <c r="S63" s="17"/>
      <c r="T63" s="17"/>
      <c r="U63" s="17"/>
      <c r="V63" s="17"/>
      <c r="W63" s="17"/>
      <c r="X63" s="17"/>
      <c r="Y63" s="16"/>
      <c r="Z63" s="26"/>
      <c r="AA63" s="55">
        <v>2020</v>
      </c>
      <c r="AB63" s="53">
        <v>5</v>
      </c>
      <c r="AC63" s="53">
        <v>5</v>
      </c>
      <c r="AD63" s="53">
        <v>3</v>
      </c>
      <c r="AE63" s="26"/>
      <c r="AF63" s="16"/>
    </row>
    <row r="64" spans="1:32">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row>
    <row r="65" spans="1:32">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row>
  </sheetData>
  <mergeCells count="11">
    <mergeCell ref="B51:W55"/>
    <mergeCell ref="B56:W56"/>
    <mergeCell ref="T19:W19"/>
    <mergeCell ref="D18:F18"/>
    <mergeCell ref="H18:J18"/>
    <mergeCell ref="L18:N18"/>
    <mergeCell ref="P18:R18"/>
    <mergeCell ref="D19:F19"/>
    <mergeCell ref="H19:J19"/>
    <mergeCell ref="L19:N19"/>
    <mergeCell ref="P19:R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00EE-12E9-482C-AF65-38904F807F66}">
  <sheetPr>
    <tabColor rgb="FF4472C4"/>
  </sheetPr>
  <dimension ref="A1:Q22"/>
  <sheetViews>
    <sheetView workbookViewId="0">
      <selection activeCell="B20" sqref="B20"/>
    </sheetView>
  </sheetViews>
  <sheetFormatPr defaultRowHeight="15"/>
  <cols>
    <col min="14" max="14" width="10.28515625" customWidth="1"/>
    <col min="15" max="15" width="10.42578125" customWidth="1"/>
    <col min="16" max="16" width="11.85546875" customWidth="1"/>
    <col min="17" max="17" width="11.7109375" customWidth="1"/>
  </cols>
  <sheetData>
    <row r="1" spans="1:17">
      <c r="A1" s="249" t="s">
        <v>196</v>
      </c>
      <c r="B1" s="249"/>
      <c r="C1" s="249"/>
      <c r="D1" s="249"/>
      <c r="E1" s="249"/>
      <c r="G1" s="249" t="s">
        <v>197</v>
      </c>
      <c r="H1" s="249"/>
      <c r="I1" s="249"/>
      <c r="J1" s="249"/>
      <c r="K1" s="249"/>
      <c r="M1" s="249" t="s">
        <v>198</v>
      </c>
      <c r="N1" s="249"/>
      <c r="O1" s="249"/>
      <c r="P1" s="249"/>
      <c r="Q1" s="249"/>
    </row>
    <row r="2" spans="1:17">
      <c r="B2" s="11" t="s">
        <v>199</v>
      </c>
      <c r="C2" s="11" t="s">
        <v>200</v>
      </c>
      <c r="D2" s="11" t="s">
        <v>201</v>
      </c>
      <c r="E2" s="11" t="s">
        <v>202</v>
      </c>
      <c r="G2" s="11"/>
      <c r="H2" s="11" t="s">
        <v>199</v>
      </c>
      <c r="I2" s="11" t="s">
        <v>200</v>
      </c>
      <c r="J2" s="11" t="s">
        <v>201</v>
      </c>
      <c r="K2" s="11" t="s">
        <v>202</v>
      </c>
      <c r="M2" s="11"/>
      <c r="N2" s="11" t="s">
        <v>199</v>
      </c>
      <c r="O2" s="11" t="s">
        <v>200</v>
      </c>
      <c r="P2" s="11" t="s">
        <v>201</v>
      </c>
      <c r="Q2" s="11" t="s">
        <v>202</v>
      </c>
    </row>
    <row r="3" spans="1:17">
      <c r="A3" s="11">
        <v>2020</v>
      </c>
      <c r="B3">
        <v>1</v>
      </c>
      <c r="C3">
        <v>1</v>
      </c>
      <c r="D3">
        <v>1</v>
      </c>
      <c r="E3">
        <v>1</v>
      </c>
      <c r="G3" s="11">
        <v>2020</v>
      </c>
      <c r="H3">
        <v>1</v>
      </c>
      <c r="I3">
        <v>1</v>
      </c>
      <c r="J3">
        <v>1</v>
      </c>
      <c r="K3">
        <v>1</v>
      </c>
      <c r="M3" s="11">
        <v>2020</v>
      </c>
      <c r="N3">
        <v>1</v>
      </c>
      <c r="O3">
        <v>1</v>
      </c>
      <c r="P3">
        <v>1</v>
      </c>
      <c r="Q3">
        <v>1</v>
      </c>
    </row>
    <row r="4" spans="1:17">
      <c r="A4" s="11">
        <v>2021</v>
      </c>
      <c r="B4">
        <f>B3+(B$13-B$3)/($A$13-$A$3)</f>
        <v>1.0063324538258576</v>
      </c>
      <c r="C4">
        <f t="shared" ref="C4:Q12" si="0">C3+(C$13-C$3)/($A$13-$A$3)</f>
        <v>1.0085413929040736</v>
      </c>
      <c r="D4">
        <f t="shared" si="0"/>
        <v>1.0105194805194806</v>
      </c>
      <c r="E4">
        <f t="shared" si="0"/>
        <v>1.0066225165562914</v>
      </c>
      <c r="G4" s="11">
        <v>2021</v>
      </c>
      <c r="H4">
        <f t="shared" si="0"/>
        <v>1.0530642309958751</v>
      </c>
      <c r="I4">
        <f t="shared" si="0"/>
        <v>1.0412514827995254</v>
      </c>
      <c r="J4">
        <f t="shared" si="0"/>
        <v>1.03370636550308</v>
      </c>
      <c r="K4">
        <f t="shared" si="0"/>
        <v>1.0627085377821395</v>
      </c>
      <c r="M4" s="11">
        <v>2021</v>
      </c>
      <c r="N4">
        <f t="shared" si="0"/>
        <v>1.0439547349612865</v>
      </c>
      <c r="O4">
        <f t="shared" si="0"/>
        <v>1.0301361618897165</v>
      </c>
      <c r="P4">
        <f t="shared" si="0"/>
        <v>1.0209818958020396</v>
      </c>
      <c r="Q4">
        <f t="shared" si="0"/>
        <v>1.0526081802015412</v>
      </c>
    </row>
    <row r="5" spans="1:17">
      <c r="A5" s="11">
        <v>2022</v>
      </c>
      <c r="B5">
        <f t="shared" ref="B5:B12" si="1">B4+(B$13-B$3)/($A$13-$A$3)</f>
        <v>1.0126649076517151</v>
      </c>
      <c r="C5">
        <f t="shared" si="0"/>
        <v>1.0170827858081473</v>
      </c>
      <c r="D5">
        <f t="shared" si="0"/>
        <v>1.0210389610389612</v>
      </c>
      <c r="E5">
        <f t="shared" si="0"/>
        <v>1.0132450331125828</v>
      </c>
      <c r="G5" s="11">
        <v>2022</v>
      </c>
      <c r="H5">
        <f t="shared" si="0"/>
        <v>1.1061284619917502</v>
      </c>
      <c r="I5">
        <f t="shared" si="0"/>
        <v>1.0825029655990508</v>
      </c>
      <c r="J5">
        <f t="shared" si="0"/>
        <v>1.0674127310061601</v>
      </c>
      <c r="K5">
        <f t="shared" si="0"/>
        <v>1.1254170755642789</v>
      </c>
      <c r="M5" s="11">
        <v>2022</v>
      </c>
      <c r="N5">
        <f t="shared" si="0"/>
        <v>1.0879094699225731</v>
      </c>
      <c r="O5">
        <f t="shared" si="0"/>
        <v>1.0602723237794329</v>
      </c>
      <c r="P5">
        <f t="shared" si="0"/>
        <v>1.0419637916040791</v>
      </c>
      <c r="Q5">
        <f t="shared" si="0"/>
        <v>1.1052163604030825</v>
      </c>
    </row>
    <row r="6" spans="1:17">
      <c r="A6" s="11">
        <v>2023</v>
      </c>
      <c r="B6">
        <f t="shared" si="1"/>
        <v>1.0189973614775727</v>
      </c>
      <c r="C6">
        <f t="shared" si="0"/>
        <v>1.0256241787122209</v>
      </c>
      <c r="D6">
        <f t="shared" si="0"/>
        <v>1.0315584415584418</v>
      </c>
      <c r="E6">
        <f t="shared" si="0"/>
        <v>1.0198675496688743</v>
      </c>
      <c r="G6" s="11">
        <v>2023</v>
      </c>
      <c r="H6">
        <f t="shared" si="0"/>
        <v>1.1591926929876253</v>
      </c>
      <c r="I6">
        <f t="shared" si="0"/>
        <v>1.1237544483985762</v>
      </c>
      <c r="J6">
        <f t="shared" si="0"/>
        <v>1.1011190965092401</v>
      </c>
      <c r="K6">
        <f t="shared" si="0"/>
        <v>1.1881256133464184</v>
      </c>
      <c r="M6" s="11">
        <v>2023</v>
      </c>
      <c r="N6">
        <f t="shared" si="0"/>
        <v>1.1318642048838596</v>
      </c>
      <c r="O6">
        <f t="shared" si="0"/>
        <v>1.0904084856691494</v>
      </c>
      <c r="P6">
        <f t="shared" si="0"/>
        <v>1.0629456874061187</v>
      </c>
      <c r="Q6">
        <f t="shared" si="0"/>
        <v>1.1578245406046237</v>
      </c>
    </row>
    <row r="7" spans="1:17">
      <c r="A7" s="11">
        <v>2024</v>
      </c>
      <c r="B7">
        <f t="shared" si="1"/>
        <v>1.0253298153034303</v>
      </c>
      <c r="C7">
        <f t="shared" si="0"/>
        <v>1.0341655716162945</v>
      </c>
      <c r="D7">
        <f t="shared" si="0"/>
        <v>1.0420779220779224</v>
      </c>
      <c r="E7">
        <f t="shared" si="0"/>
        <v>1.0264900662251657</v>
      </c>
      <c r="G7" s="11">
        <v>2024</v>
      </c>
      <c r="H7">
        <f t="shared" si="0"/>
        <v>1.2122569239835004</v>
      </c>
      <c r="I7">
        <f t="shared" si="0"/>
        <v>1.1650059311981016</v>
      </c>
      <c r="J7">
        <f t="shared" si="0"/>
        <v>1.1348254620123202</v>
      </c>
      <c r="K7">
        <f t="shared" si="0"/>
        <v>1.2508341511285579</v>
      </c>
      <c r="M7" s="11">
        <v>2024</v>
      </c>
      <c r="N7">
        <f t="shared" si="0"/>
        <v>1.1758189398451462</v>
      </c>
      <c r="O7">
        <f t="shared" si="0"/>
        <v>1.1205446475588658</v>
      </c>
      <c r="P7">
        <f t="shared" si="0"/>
        <v>1.0839275832081583</v>
      </c>
      <c r="Q7">
        <f t="shared" si="0"/>
        <v>1.2104327208061649</v>
      </c>
    </row>
    <row r="8" spans="1:17">
      <c r="A8" s="11">
        <v>2025</v>
      </c>
      <c r="B8">
        <f t="shared" si="1"/>
        <v>1.0316622691292878</v>
      </c>
      <c r="C8">
        <f t="shared" si="0"/>
        <v>1.0427069645203682</v>
      </c>
      <c r="D8">
        <f t="shared" si="0"/>
        <v>1.052597402597403</v>
      </c>
      <c r="E8">
        <f t="shared" si="0"/>
        <v>1.0331125827814571</v>
      </c>
      <c r="G8" s="11">
        <v>2025</v>
      </c>
      <c r="H8">
        <f t="shared" si="0"/>
        <v>1.2653211549793755</v>
      </c>
      <c r="I8">
        <f t="shared" si="0"/>
        <v>1.206257413997627</v>
      </c>
      <c r="J8">
        <f t="shared" si="0"/>
        <v>1.1685318275154002</v>
      </c>
      <c r="K8">
        <f t="shared" si="0"/>
        <v>1.3135426889106974</v>
      </c>
      <c r="M8" s="11">
        <v>2025</v>
      </c>
      <c r="N8">
        <f t="shared" si="0"/>
        <v>1.2197736748064327</v>
      </c>
      <c r="O8">
        <f t="shared" si="0"/>
        <v>1.1506808094485823</v>
      </c>
      <c r="P8">
        <f t="shared" si="0"/>
        <v>1.1049094790101979</v>
      </c>
      <c r="Q8">
        <f t="shared" si="0"/>
        <v>1.2630409010077062</v>
      </c>
    </row>
    <row r="9" spans="1:17">
      <c r="A9" s="11">
        <v>2026</v>
      </c>
      <c r="B9">
        <f t="shared" si="1"/>
        <v>1.0379947229551454</v>
      </c>
      <c r="C9">
        <f t="shared" si="0"/>
        <v>1.0512483574244418</v>
      </c>
      <c r="D9">
        <f t="shared" si="0"/>
        <v>1.0631168831168836</v>
      </c>
      <c r="E9">
        <f t="shared" si="0"/>
        <v>1.0397350993377485</v>
      </c>
      <c r="G9" s="11">
        <v>2026</v>
      </c>
      <c r="H9">
        <f t="shared" si="0"/>
        <v>1.3183853859752506</v>
      </c>
      <c r="I9">
        <f t="shared" si="0"/>
        <v>1.2475088967971524</v>
      </c>
      <c r="J9">
        <f t="shared" si="0"/>
        <v>1.2022381930184802</v>
      </c>
      <c r="K9">
        <f t="shared" si="0"/>
        <v>1.3762512266928368</v>
      </c>
      <c r="M9" s="11">
        <v>2026</v>
      </c>
      <c r="N9">
        <f t="shared" si="0"/>
        <v>1.2637284097677193</v>
      </c>
      <c r="O9">
        <f t="shared" si="0"/>
        <v>1.1808169713382988</v>
      </c>
      <c r="P9">
        <f t="shared" si="0"/>
        <v>1.1258913748122374</v>
      </c>
      <c r="Q9">
        <f t="shared" si="0"/>
        <v>1.3156490812092474</v>
      </c>
    </row>
    <row r="10" spans="1:17">
      <c r="A10" s="11">
        <v>2027</v>
      </c>
      <c r="B10">
        <f t="shared" si="1"/>
        <v>1.044327176781003</v>
      </c>
      <c r="C10">
        <f t="shared" si="0"/>
        <v>1.0597897503285154</v>
      </c>
      <c r="D10">
        <f t="shared" si="0"/>
        <v>1.0736363636363642</v>
      </c>
      <c r="E10">
        <f t="shared" si="0"/>
        <v>1.04635761589404</v>
      </c>
      <c r="G10" s="11">
        <v>2027</v>
      </c>
      <c r="H10">
        <f t="shared" si="0"/>
        <v>1.3714496169711257</v>
      </c>
      <c r="I10">
        <f t="shared" si="0"/>
        <v>1.2887603795966778</v>
      </c>
      <c r="J10">
        <f t="shared" si="0"/>
        <v>1.2359445585215603</v>
      </c>
      <c r="K10">
        <f t="shared" si="0"/>
        <v>1.4389597644749763</v>
      </c>
      <c r="M10" s="11">
        <v>2027</v>
      </c>
      <c r="N10">
        <f t="shared" si="0"/>
        <v>1.3076831447290058</v>
      </c>
      <c r="O10">
        <f t="shared" si="0"/>
        <v>1.2109531332280152</v>
      </c>
      <c r="P10">
        <f t="shared" si="0"/>
        <v>1.146873270614277</v>
      </c>
      <c r="Q10">
        <f t="shared" si="0"/>
        <v>1.3682572614107886</v>
      </c>
    </row>
    <row r="11" spans="1:17">
      <c r="A11" s="11">
        <v>2028</v>
      </c>
      <c r="B11">
        <f t="shared" si="1"/>
        <v>1.0506596306068605</v>
      </c>
      <c r="C11">
        <f t="shared" si="0"/>
        <v>1.068331143232589</v>
      </c>
      <c r="D11">
        <f t="shared" si="0"/>
        <v>1.0841558441558448</v>
      </c>
      <c r="E11">
        <f t="shared" si="0"/>
        <v>1.0529801324503314</v>
      </c>
      <c r="G11" s="11">
        <v>2028</v>
      </c>
      <c r="H11">
        <f t="shared" si="0"/>
        <v>1.4245138479670008</v>
      </c>
      <c r="I11">
        <f t="shared" si="0"/>
        <v>1.3300118623962032</v>
      </c>
      <c r="J11">
        <f t="shared" si="0"/>
        <v>1.2696509240246403</v>
      </c>
      <c r="K11">
        <f t="shared" si="0"/>
        <v>1.5016683022571158</v>
      </c>
      <c r="M11" s="11">
        <v>2028</v>
      </c>
      <c r="N11">
        <f t="shared" si="0"/>
        <v>1.3516378796902924</v>
      </c>
      <c r="O11">
        <f t="shared" si="0"/>
        <v>1.2410892951177317</v>
      </c>
      <c r="P11">
        <f t="shared" si="0"/>
        <v>1.1678551664163166</v>
      </c>
      <c r="Q11">
        <f t="shared" si="0"/>
        <v>1.4208654416123299</v>
      </c>
    </row>
    <row r="12" spans="1:17">
      <c r="A12" s="11">
        <v>2029</v>
      </c>
      <c r="B12">
        <f t="shared" si="1"/>
        <v>1.0569920844327181</v>
      </c>
      <c r="C12">
        <f t="shared" si="0"/>
        <v>1.0768725361366627</v>
      </c>
      <c r="D12">
        <f t="shared" si="0"/>
        <v>1.0946753246753254</v>
      </c>
      <c r="E12">
        <f t="shared" si="0"/>
        <v>1.0596026490066228</v>
      </c>
      <c r="G12" s="11">
        <v>2029</v>
      </c>
      <c r="H12">
        <f t="shared" si="0"/>
        <v>1.4775780789628759</v>
      </c>
      <c r="I12">
        <f t="shared" si="0"/>
        <v>1.3712633451957286</v>
      </c>
      <c r="J12">
        <f t="shared" si="0"/>
        <v>1.3033572895277203</v>
      </c>
      <c r="K12">
        <f t="shared" si="0"/>
        <v>1.5643768400392553</v>
      </c>
      <c r="M12" s="11">
        <v>2029</v>
      </c>
      <c r="N12">
        <f t="shared" si="0"/>
        <v>1.3955926146515789</v>
      </c>
      <c r="O12">
        <f t="shared" si="0"/>
        <v>1.2712254570074482</v>
      </c>
      <c r="P12">
        <f t="shared" si="0"/>
        <v>1.1888370622183562</v>
      </c>
      <c r="Q12">
        <f t="shared" si="0"/>
        <v>1.4734736218138711</v>
      </c>
    </row>
    <row r="13" spans="1:17">
      <c r="A13" s="11">
        <v>2030</v>
      </c>
      <c r="B13">
        <f>B$3*'SSP Scenarios'!I20/'SSP Scenarios'!I$19</f>
        <v>1.0633245382585752</v>
      </c>
      <c r="C13">
        <f>C$3*'SSP Scenarios'!J20/'SSP Scenarios'!J$19</f>
        <v>1.0854139290407359</v>
      </c>
      <c r="D13">
        <f>D$3*'SSP Scenarios'!K20/'SSP Scenarios'!K$19</f>
        <v>1.1051948051948051</v>
      </c>
      <c r="E13">
        <f>E$3*'SSP Scenarios'!L20/'SSP Scenarios'!L$19</f>
        <v>1.066225165562914</v>
      </c>
      <c r="G13" s="11">
        <v>2030</v>
      </c>
      <c r="H13">
        <f>H$3 * 'SSP Scenarios'!N20/'SSP Scenarios'!N$19</f>
        <v>1.5306423099587507</v>
      </c>
      <c r="I13">
        <f>I$3 * 'SSP Scenarios'!O20/'SSP Scenarios'!O$19</f>
        <v>1.4125148279952549</v>
      </c>
      <c r="J13">
        <f>J$3 * 'SSP Scenarios'!P20/'SSP Scenarios'!P$19</f>
        <v>1.3370636550308006</v>
      </c>
      <c r="K13">
        <f>K$3 * 'SSP Scenarios'!Q20/'SSP Scenarios'!Q$19</f>
        <v>1.6270853778213936</v>
      </c>
      <c r="M13" s="11">
        <v>2030</v>
      </c>
      <c r="N13">
        <f>N$3 * 'SSP Scenarios'!S20/'SSP Scenarios'!S$19</f>
        <v>1.4395473496128648</v>
      </c>
      <c r="O13">
        <f>O$3 * 'SSP Scenarios'!T20/'SSP Scenarios'!T$19</f>
        <v>1.301361618897164</v>
      </c>
      <c r="P13">
        <f>P$3 * 'SSP Scenarios'!U20/'SSP Scenarios'!U$19</f>
        <v>1.2098189580203969</v>
      </c>
      <c r="Q13">
        <f>Q$3 * 'SSP Scenarios'!V20/'SSP Scenarios'!V$19</f>
        <v>1.5260818020154119</v>
      </c>
    </row>
    <row r="14" spans="1:17">
      <c r="A14" s="11">
        <v>2040</v>
      </c>
      <c r="B14">
        <f>B$3*'SSP Scenarios'!I21/'SSP Scenarios'!I$19</f>
        <v>1.1068601583113458</v>
      </c>
      <c r="C14">
        <f>C$3*'SSP Scenarios'!J21/'SSP Scenarios'!J$19</f>
        <v>1.155059132720105</v>
      </c>
      <c r="D14">
        <f>D$3*'SSP Scenarios'!K21/'SSP Scenarios'!K$19</f>
        <v>1.2025974025974024</v>
      </c>
      <c r="E14">
        <f>E$3*'SSP Scenarios'!L21/'SSP Scenarios'!L$19</f>
        <v>1.1125827814569538</v>
      </c>
      <c r="G14" s="11">
        <v>2040</v>
      </c>
      <c r="H14">
        <f>H$3 * 'SSP Scenarios'!N21/'SSP Scenarios'!N$19</f>
        <v>2.1921037124337066</v>
      </c>
      <c r="I14">
        <f>I$3 * 'SSP Scenarios'!O21/'SSP Scenarios'!O$19</f>
        <v>1.8326413602214313</v>
      </c>
      <c r="J14">
        <f>J$3 * 'SSP Scenarios'!P21/'SSP Scenarios'!P$19</f>
        <v>1.5746406570841889</v>
      </c>
      <c r="K14">
        <f>K$3 * 'SSP Scenarios'!Q21/'SSP Scenarios'!Q$19</f>
        <v>2.5534838076545632</v>
      </c>
      <c r="M14" s="11">
        <v>2040</v>
      </c>
      <c r="N14">
        <f>N$3 * 'SSP Scenarios'!S21/'SSP Scenarios'!S$19</f>
        <v>1.9805687909469922</v>
      </c>
      <c r="O14">
        <f>O$3 * 'SSP Scenarios'!T21/'SSP Scenarios'!T$19</f>
        <v>1.5866245392311742</v>
      </c>
      <c r="P14">
        <f>P$3 * 'SSP Scenarios'!U21/'SSP Scenarios'!U$19</f>
        <v>1.3093525179856116</v>
      </c>
      <c r="Q14">
        <f>Q$3 * 'SSP Scenarios'!V21/'SSP Scenarios'!V$19</f>
        <v>2.2951985773562535</v>
      </c>
    </row>
    <row r="15" spans="1:17">
      <c r="A15" s="11">
        <v>2050</v>
      </c>
      <c r="B15">
        <f>B$3*'SSP Scenarios'!I22/'SSP Scenarios'!I$19</f>
        <v>1.1253298153034299</v>
      </c>
      <c r="C15">
        <f>C$3*'SSP Scenarios'!J22/'SSP Scenarios'!J$19</f>
        <v>1.204993429697766</v>
      </c>
      <c r="D15">
        <f>D$3*'SSP Scenarios'!K22/'SSP Scenarios'!K$19</f>
        <v>1.2935064935064935</v>
      </c>
      <c r="E15">
        <f>E$3*'SSP Scenarios'!L22/'SSP Scenarios'!L$19</f>
        <v>1.1364238410596026</v>
      </c>
      <c r="G15" s="11">
        <v>2050</v>
      </c>
      <c r="H15">
        <f>H$3 * 'SSP Scenarios'!N22/'SSP Scenarios'!N$19</f>
        <v>2.860931054802593</v>
      </c>
      <c r="I15">
        <f>I$3 * 'SSP Scenarios'!O22/'SSP Scenarios'!O$19</f>
        <v>2.2755041518386716</v>
      </c>
      <c r="J15">
        <f>J$3 * 'SSP Scenarios'!P22/'SSP Scenarios'!P$19</f>
        <v>1.7607802874743326</v>
      </c>
      <c r="K15">
        <f>K$3 * 'SSP Scenarios'!Q22/'SSP Scenarios'!Q$19</f>
        <v>3.5789990186457308</v>
      </c>
      <c r="M15" s="11">
        <v>2050</v>
      </c>
      <c r="N15">
        <f>N$3 * 'SSP Scenarios'!S22/'SSP Scenarios'!S$19</f>
        <v>2.5424359737939248</v>
      </c>
      <c r="O15">
        <f>O$3 * 'SSP Scenarios'!T22/'SSP Scenarios'!T$19</f>
        <v>1.8883622959452344</v>
      </c>
      <c r="P15">
        <f>P$3 * 'SSP Scenarios'!U22/'SSP Scenarios'!U$19</f>
        <v>1.3612143252431022</v>
      </c>
      <c r="Q15">
        <f>Q$3 * 'SSP Scenarios'!V22/'SSP Scenarios'!V$19</f>
        <v>3.1494516893894486</v>
      </c>
    </row>
    <row r="16" spans="1:17">
      <c r="A16" s="11">
        <v>2060</v>
      </c>
      <c r="B16">
        <f>B$3*'SSP Scenarios'!I23/'SSP Scenarios'!I$19</f>
        <v>1.1200527704485488</v>
      </c>
      <c r="C16">
        <f>C$3*'SSP Scenarios'!J23/'SSP Scenarios'!J$19</f>
        <v>1.2325886990801578</v>
      </c>
      <c r="D16">
        <f>D$3*'SSP Scenarios'!K23/'SSP Scenarios'!K$19</f>
        <v>1.3727272727272728</v>
      </c>
      <c r="E16">
        <f>E$3*'SSP Scenarios'!L23/'SSP Scenarios'!L$19</f>
        <v>1.1377483443708609</v>
      </c>
      <c r="G16" s="11">
        <v>2060</v>
      </c>
      <c r="H16">
        <f>H$3 * 'SSP Scenarios'!N23/'SSP Scenarios'!N$19</f>
        <v>3.499214299744648</v>
      </c>
      <c r="I16">
        <f>I$3 * 'SSP Scenarios'!O23/'SSP Scenarios'!O$19</f>
        <v>2.754250691973112</v>
      </c>
      <c r="J16">
        <f>J$3 * 'SSP Scenarios'!P23/'SSP Scenarios'!P$19</f>
        <v>1.9241273100616014</v>
      </c>
      <c r="K16">
        <f>K$3 * 'SSP Scenarios'!Q23/'SSP Scenarios'!Q$19</f>
        <v>4.6938174681059861</v>
      </c>
      <c r="M16" s="11">
        <v>2060</v>
      </c>
      <c r="N16">
        <f>N$3 * 'SSP Scenarios'!S23/'SSP Scenarios'!S$19</f>
        <v>3.1242555092316855</v>
      </c>
      <c r="O16">
        <f>O$3 * 'SSP Scenarios'!T23/'SSP Scenarios'!T$19</f>
        <v>2.2344843150530354</v>
      </c>
      <c r="P16">
        <f>P$3 * 'SSP Scenarios'!U23/'SSP Scenarios'!U$19</f>
        <v>1.4016918333465096</v>
      </c>
      <c r="Q16">
        <f>Q$3 * 'SSP Scenarios'!V23/'SSP Scenarios'!V$19</f>
        <v>4.1257409602845287</v>
      </c>
    </row>
    <row r="17" spans="1:17">
      <c r="A17" s="11">
        <v>2070</v>
      </c>
      <c r="B17">
        <f>B$3*'SSP Scenarios'!I24/'SSP Scenarios'!I$19</f>
        <v>1.0949868073878628</v>
      </c>
      <c r="C17">
        <f>C$3*'SSP Scenarios'!J24/'SSP Scenarios'!J$19</f>
        <v>1.2431011826544021</v>
      </c>
      <c r="D17">
        <f>D$3*'SSP Scenarios'!K24/'SSP Scenarios'!K$19</f>
        <v>1.444155844155844</v>
      </c>
      <c r="E17">
        <f>E$3*'SSP Scenarios'!L24/'SSP Scenarios'!L$19</f>
        <v>1.1205298013245035</v>
      </c>
      <c r="G17" s="11">
        <v>2070</v>
      </c>
      <c r="H17">
        <f>H$3 * 'SSP Scenarios'!N24/'SSP Scenarios'!N$19</f>
        <v>4.1179532508348071</v>
      </c>
      <c r="I17">
        <f>I$3 * 'SSP Scenarios'!O24/'SSP Scenarios'!O$19</f>
        <v>3.3035784895215503</v>
      </c>
      <c r="J17">
        <f>J$3 * 'SSP Scenarios'!P24/'SSP Scenarios'!P$19</f>
        <v>2.095277207392197</v>
      </c>
      <c r="K17">
        <f>K$3 * 'SSP Scenarios'!Q24/'SSP Scenarios'!Q$19</f>
        <v>5.945044160942099</v>
      </c>
      <c r="M17" s="11">
        <v>2070</v>
      </c>
      <c r="N17">
        <f>N$3 * 'SSP Scenarios'!S24/'SSP Scenarios'!S$19</f>
        <v>3.7608695652173911</v>
      </c>
      <c r="O17">
        <f>O$3 * 'SSP Scenarios'!T24/'SSP Scenarios'!T$19</f>
        <v>2.6574889039344014</v>
      </c>
      <c r="P17">
        <f>P$3 * 'SSP Scenarios'!U24/'SSP Scenarios'!U$19</f>
        <v>1.4508656810815084</v>
      </c>
      <c r="Q17">
        <f>Q$3 * 'SSP Scenarios'!V24/'SSP Scenarios'!V$19</f>
        <v>5.3057943094250151</v>
      </c>
    </row>
    <row r="18" spans="1:17">
      <c r="A18" s="11">
        <v>2080</v>
      </c>
      <c r="B18">
        <f>B$3*'SSP Scenarios'!I25/'SSP Scenarios'!I$19</f>
        <v>1.0514511873350922</v>
      </c>
      <c r="C18">
        <f>C$3*'SSP Scenarios'!J25/'SSP Scenarios'!J$19</f>
        <v>1.2365308804204993</v>
      </c>
      <c r="D18">
        <f>D$3*'SSP Scenarios'!K25/'SSP Scenarios'!K$19</f>
        <v>1.5103896103896104</v>
      </c>
      <c r="E18">
        <f>E$3*'SSP Scenarios'!L25/'SSP Scenarios'!L$19</f>
        <v>1.0860927152317881</v>
      </c>
      <c r="G18" s="11">
        <v>2080</v>
      </c>
      <c r="H18">
        <f>H$3 * 'SSP Scenarios'!N25/'SSP Scenarios'!N$19</f>
        <v>4.6692201924965628</v>
      </c>
      <c r="I18">
        <f>I$3 * 'SSP Scenarios'!O25/'SSP Scenarios'!O$19</f>
        <v>3.899565045472519</v>
      </c>
      <c r="J18">
        <f>J$3 * 'SSP Scenarios'!P25/'SSP Scenarios'!P$19</f>
        <v>2.2725872689938398</v>
      </c>
      <c r="K18">
        <f>K$3 * 'SSP Scenarios'!Q25/'SSP Scenarios'!Q$19</f>
        <v>7.2679097154072618</v>
      </c>
      <c r="M18" s="11">
        <v>2080</v>
      </c>
      <c r="N18">
        <f>N$3 * 'SSP Scenarios'!S25/'SSP Scenarios'!S$19</f>
        <v>4.4409618820726626</v>
      </c>
      <c r="O18">
        <f>O$3 * 'SSP Scenarios'!T25/'SSP Scenarios'!T$19</f>
        <v>3.1536146844203716</v>
      </c>
      <c r="P18">
        <f>P$3 * 'SSP Scenarios'!U25/'SSP Scenarios'!U$19</f>
        <v>1.5046248715313464</v>
      </c>
      <c r="Q18">
        <f>Q$3 * 'SSP Scenarios'!V25/'SSP Scenarios'!V$19</f>
        <v>6.6921310017783044</v>
      </c>
    </row>
    <row r="19" spans="1:17">
      <c r="A19" s="11">
        <v>2090</v>
      </c>
      <c r="B19">
        <f>B$3*'SSP Scenarios'!I26/'SSP Scenarios'!I$19</f>
        <v>0.99076517150395771</v>
      </c>
      <c r="C19">
        <f>C$3*'SSP Scenarios'!J26/'SSP Scenarios'!J$19</f>
        <v>1.2155059132720105</v>
      </c>
      <c r="D19">
        <f>D$3*'SSP Scenarios'!K26/'SSP Scenarios'!K$19</f>
        <v>1.5753246753246755</v>
      </c>
      <c r="E19">
        <f>E$3*'SSP Scenarios'!L26/'SSP Scenarios'!L$19</f>
        <v>1.0370860927152319</v>
      </c>
      <c r="G19" s="11">
        <v>2090</v>
      </c>
      <c r="H19">
        <f>H$3 * 'SSP Scenarios'!N26/'SSP Scenarios'!N$19</f>
        <v>5.1549793753682973</v>
      </c>
      <c r="I19">
        <f>I$3 * 'SSP Scenarios'!O26/'SSP Scenarios'!O$19</f>
        <v>4.5462633451957295</v>
      </c>
      <c r="J19">
        <f>J$3 * 'SSP Scenarios'!P26/'SSP Scenarios'!P$19</f>
        <v>2.4649897330595483</v>
      </c>
      <c r="K19">
        <f>K$3 * 'SSP Scenarios'!Q26/'SSP Scenarios'!Q$19</f>
        <v>8.6584887144259071</v>
      </c>
      <c r="M19" s="11">
        <v>2090</v>
      </c>
      <c r="N19">
        <f>N$3 * 'SSP Scenarios'!S26/'SSP Scenarios'!S$19</f>
        <v>5.2032459797498509</v>
      </c>
      <c r="O19">
        <f>O$3 * 'SSP Scenarios'!T26/'SSP Scenarios'!T$19</f>
        <v>3.7401639960881665</v>
      </c>
      <c r="P19">
        <f>P$3 * 'SSP Scenarios'!U26/'SSP Scenarios'!U$19</f>
        <v>1.5647877302553561</v>
      </c>
      <c r="Q19">
        <f>Q$3 * 'SSP Scenarios'!V26/'SSP Scenarios'!V$19</f>
        <v>8.3492145820983996</v>
      </c>
    </row>
    <row r="20" spans="1:17">
      <c r="A20" s="11">
        <v>2100</v>
      </c>
      <c r="B20">
        <f>B$3*'SSP Scenarios'!I27/'SSP Scenarios'!I$19</f>
        <v>0.91820580474934033</v>
      </c>
      <c r="C20">
        <f>C$3*'SSP Scenarios'!J27/'SSP Scenarios'!J$19</f>
        <v>1.1865965834428382</v>
      </c>
      <c r="D20">
        <f>D$3*'SSP Scenarios'!K27/'SSP Scenarios'!K$19</f>
        <v>1.6389610389610387</v>
      </c>
      <c r="E20">
        <f>E$3*'SSP Scenarios'!L27/'SSP Scenarios'!L$19</f>
        <v>0.97748344370860929</v>
      </c>
      <c r="G20" s="11">
        <v>2100</v>
      </c>
      <c r="H20">
        <f>H$3 * 'SSP Scenarios'!N27/'SSP Scenarios'!N$19</f>
        <v>5.5528383421724614</v>
      </c>
      <c r="I20">
        <f>I$3 * 'SSP Scenarios'!O27/'SSP Scenarios'!O$19</f>
        <v>5.2583036773428233</v>
      </c>
      <c r="J20">
        <f>J$3 * 'SSP Scenarios'!P27/'SSP Scenarios'!P$19</f>
        <v>2.6852156057494869</v>
      </c>
      <c r="K20">
        <f>K$3 * 'SSP Scenarios'!Q27/'SSP Scenarios'!Q$19</f>
        <v>10.117762512266928</v>
      </c>
      <c r="M20" s="11">
        <v>2100</v>
      </c>
      <c r="N20">
        <f>N$3 * 'SSP Scenarios'!S27/'SSP Scenarios'!S$19</f>
        <v>6.0477963073257888</v>
      </c>
      <c r="O20">
        <f>O$3 * 'SSP Scenarios'!T27/'SSP Scenarios'!T$19</f>
        <v>4.4313548484164595</v>
      </c>
      <c r="P20">
        <f>P$3 * 'SSP Scenarios'!U27/'SSP Scenarios'!U$19</f>
        <v>1.6383903865918255</v>
      </c>
      <c r="Q20">
        <f>Q$3 * 'SSP Scenarios'!V27/'SSP Scenarios'!V$19</f>
        <v>10.35128927089508</v>
      </c>
    </row>
    <row r="22" spans="1:17">
      <c r="A22" s="250" t="s">
        <v>203</v>
      </c>
      <c r="B22" s="250"/>
      <c r="C22" s="250"/>
      <c r="D22" s="250"/>
      <c r="E22" s="250"/>
      <c r="F22" s="250"/>
      <c r="G22" s="250"/>
      <c r="H22" s="250"/>
      <c r="I22" s="250"/>
      <c r="J22" s="250"/>
      <c r="K22" s="250"/>
      <c r="L22" s="250"/>
      <c r="M22" s="250"/>
      <c r="N22" s="250"/>
      <c r="O22" s="250"/>
      <c r="P22" s="250"/>
      <c r="Q22" s="250"/>
    </row>
  </sheetData>
  <mergeCells count="4">
    <mergeCell ref="A1:E1"/>
    <mergeCell ref="G1:K1"/>
    <mergeCell ref="M1:Q1"/>
    <mergeCell ref="A22:Q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E3FF-F950-42E3-8F8C-2F6CA25F532F}">
  <sheetPr>
    <tabColor rgb="FF4472C4"/>
  </sheetPr>
  <dimension ref="A1:S41"/>
  <sheetViews>
    <sheetView topLeftCell="E1" workbookViewId="0">
      <selection activeCell="P2" sqref="P2"/>
    </sheetView>
  </sheetViews>
  <sheetFormatPr defaultRowHeight="15"/>
  <cols>
    <col min="1" max="1" width="10" bestFit="1" customWidth="1"/>
    <col min="2" max="2" width="12.140625" bestFit="1" customWidth="1"/>
    <col min="3" max="4" width="12.42578125" bestFit="1" customWidth="1"/>
    <col min="5" max="5" width="8.85546875" bestFit="1" customWidth="1"/>
    <col min="6" max="6" width="11.140625" customWidth="1"/>
    <col min="7" max="7" width="11.42578125" bestFit="1" customWidth="1"/>
    <col min="8" max="8" width="12.42578125" bestFit="1" customWidth="1"/>
    <col min="9" max="9" width="12.140625" customWidth="1"/>
    <col min="10" max="10" width="8.85546875" bestFit="1" customWidth="1"/>
    <col min="11" max="11" width="14.140625" customWidth="1"/>
    <col min="12" max="14" width="12.5703125" bestFit="1" customWidth="1"/>
    <col min="15" max="15" width="8.85546875" bestFit="1" customWidth="1"/>
    <col min="16" max="16" width="11" customWidth="1"/>
    <col min="17" max="17" width="13" customWidth="1"/>
    <col min="18" max="18" width="12.42578125" customWidth="1"/>
    <col min="19" max="19" width="13.85546875" customWidth="1"/>
  </cols>
  <sheetData>
    <row r="1" spans="1:19">
      <c r="A1" s="253" t="s">
        <v>204</v>
      </c>
      <c r="B1" s="253"/>
      <c r="C1" s="253"/>
      <c r="D1" s="253"/>
      <c r="E1" s="13"/>
      <c r="F1" s="254" t="s">
        <v>205</v>
      </c>
      <c r="G1" s="254"/>
      <c r="H1" s="254"/>
      <c r="I1" s="254"/>
      <c r="K1" s="253" t="s">
        <v>206</v>
      </c>
      <c r="L1" s="253"/>
      <c r="M1" s="253"/>
      <c r="N1" s="253"/>
      <c r="P1" s="251" t="s">
        <v>207</v>
      </c>
      <c r="Q1" s="251"/>
      <c r="R1" s="251"/>
      <c r="S1" s="251"/>
    </row>
    <row r="2" spans="1:19">
      <c r="A2" s="147" t="s">
        <v>208</v>
      </c>
      <c r="B2" s="147" t="s">
        <v>209</v>
      </c>
      <c r="C2" s="147" t="s">
        <v>210</v>
      </c>
      <c r="D2" s="147" t="s">
        <v>191</v>
      </c>
      <c r="E2" s="13"/>
      <c r="F2" s="171" t="s">
        <v>208</v>
      </c>
      <c r="G2" s="171" t="s">
        <v>211</v>
      </c>
      <c r="H2" s="171" t="s">
        <v>210</v>
      </c>
      <c r="I2" s="171" t="s">
        <v>191</v>
      </c>
      <c r="J2" s="14"/>
      <c r="K2" s="147" t="s">
        <v>208</v>
      </c>
      <c r="L2" s="147" t="s">
        <v>211</v>
      </c>
      <c r="M2" s="147" t="s">
        <v>210</v>
      </c>
      <c r="N2" s="147" t="s">
        <v>191</v>
      </c>
      <c r="P2" s="154" t="s">
        <v>208</v>
      </c>
      <c r="Q2" s="154" t="s">
        <v>209</v>
      </c>
      <c r="R2" s="154" t="s">
        <v>210</v>
      </c>
      <c r="S2" s="154" t="s">
        <v>191</v>
      </c>
    </row>
    <row r="3" spans="1:19">
      <c r="A3" s="148">
        <v>1</v>
      </c>
      <c r="B3" s="168">
        <v>637301.5</v>
      </c>
      <c r="C3" s="168">
        <v>818859.4</v>
      </c>
      <c r="D3" s="168">
        <v>728080.4</v>
      </c>
      <c r="E3" s="143"/>
      <c r="F3" s="172">
        <v>1</v>
      </c>
      <c r="G3" s="168">
        <v>4869045.72</v>
      </c>
      <c r="H3" s="168">
        <v>6607315.7999999998</v>
      </c>
      <c r="I3" s="168">
        <v>5738180.75</v>
      </c>
      <c r="J3" s="144"/>
      <c r="K3" s="148">
        <v>1</v>
      </c>
      <c r="L3" s="168">
        <v>7273781.9270000001</v>
      </c>
      <c r="M3" s="168">
        <v>18772259.289999999</v>
      </c>
      <c r="N3" s="168">
        <v>13023020.6</v>
      </c>
      <c r="O3" s="142"/>
      <c r="P3" s="155">
        <v>1</v>
      </c>
      <c r="Q3" s="156">
        <f>SUM($B3,$G3,$L3)</f>
        <v>12780129.147</v>
      </c>
      <c r="R3" s="156">
        <f t="shared" ref="R3:R8" si="0">SUM($C3,$H3,$M3)</f>
        <v>26198434.489999998</v>
      </c>
      <c r="S3" s="156">
        <f>SUM(D3,I3,N3)</f>
        <v>19489281.75</v>
      </c>
    </row>
    <row r="4" spans="1:19">
      <c r="A4" s="149">
        <v>2</v>
      </c>
      <c r="B4" s="167">
        <v>957089.4</v>
      </c>
      <c r="C4" s="167">
        <v>1161032.8</v>
      </c>
      <c r="D4" s="167">
        <v>1059061.1000000001</v>
      </c>
      <c r="E4" s="143"/>
      <c r="F4" s="173">
        <v>2</v>
      </c>
      <c r="G4" s="167">
        <v>6708810.2599999998</v>
      </c>
      <c r="H4" s="167">
        <v>8793270</v>
      </c>
      <c r="I4" s="167">
        <v>7751040.1100000003</v>
      </c>
      <c r="J4" s="144"/>
      <c r="K4" s="149">
        <v>2</v>
      </c>
      <c r="L4" s="167">
        <v>14309831.567</v>
      </c>
      <c r="M4" s="167">
        <v>27353014.949999999</v>
      </c>
      <c r="N4" s="167">
        <v>20831423.300000001</v>
      </c>
      <c r="O4" s="142"/>
      <c r="P4" s="146">
        <v>2</v>
      </c>
      <c r="Q4" s="141">
        <f t="shared" ref="Q4:Q8" si="1">SUM($B4,$G4,$L4)</f>
        <v>21975731.226999998</v>
      </c>
      <c r="R4" s="141">
        <f t="shared" si="0"/>
        <v>37307317.75</v>
      </c>
      <c r="S4" s="141">
        <f t="shared" ref="S4:S8" si="2">SUM(D4,I4,N4)</f>
        <v>29641524.510000002</v>
      </c>
    </row>
    <row r="5" spans="1:19">
      <c r="A5" s="150">
        <v>3</v>
      </c>
      <c r="B5" s="169">
        <v>708746.3</v>
      </c>
      <c r="C5" s="169">
        <v>1075256.7</v>
      </c>
      <c r="D5" s="169">
        <v>892001.5</v>
      </c>
      <c r="E5" s="143"/>
      <c r="F5" s="174">
        <v>3</v>
      </c>
      <c r="G5" s="169">
        <v>200408.99</v>
      </c>
      <c r="H5" s="169">
        <v>660668.19999999995</v>
      </c>
      <c r="I5" s="169">
        <v>430538.62</v>
      </c>
      <c r="J5" s="145"/>
      <c r="K5" s="150">
        <v>3</v>
      </c>
      <c r="L5" s="153">
        <v>0</v>
      </c>
      <c r="M5" s="169">
        <v>515764.13</v>
      </c>
      <c r="N5" s="169">
        <v>184239.4</v>
      </c>
      <c r="O5" s="142"/>
      <c r="P5" s="157">
        <v>3</v>
      </c>
      <c r="Q5" s="158">
        <f t="shared" si="1"/>
        <v>909155.29</v>
      </c>
      <c r="R5" s="158">
        <f t="shared" si="0"/>
        <v>2251689.0299999998</v>
      </c>
      <c r="S5" s="158">
        <f t="shared" si="2"/>
        <v>1506779.52</v>
      </c>
    </row>
    <row r="6" spans="1:19">
      <c r="A6" s="149">
        <v>4</v>
      </c>
      <c r="B6" s="167">
        <v>159923</v>
      </c>
      <c r="C6" s="167">
        <v>216557.3</v>
      </c>
      <c r="D6" s="167">
        <v>188240.2</v>
      </c>
      <c r="E6" s="143"/>
      <c r="F6" s="173">
        <v>4</v>
      </c>
      <c r="G6" s="167">
        <v>89789.32</v>
      </c>
      <c r="H6" s="167">
        <v>287276.5</v>
      </c>
      <c r="I6" s="167">
        <v>188532.92</v>
      </c>
      <c r="J6" s="145"/>
      <c r="K6" s="149">
        <v>4</v>
      </c>
      <c r="L6" s="167">
        <v>4214.5749999999998</v>
      </c>
      <c r="M6" s="167">
        <v>33540.629999999997</v>
      </c>
      <c r="N6" s="167">
        <v>18877.599999999999</v>
      </c>
      <c r="O6" s="142"/>
      <c r="P6" s="146">
        <v>4</v>
      </c>
      <c r="Q6" s="141">
        <f t="shared" si="1"/>
        <v>253926.89500000002</v>
      </c>
      <c r="R6" s="141">
        <f t="shared" si="0"/>
        <v>537374.42999999993</v>
      </c>
      <c r="S6" s="141">
        <f t="shared" si="2"/>
        <v>395650.72</v>
      </c>
    </row>
    <row r="7" spans="1:19">
      <c r="A7" s="150">
        <v>5</v>
      </c>
      <c r="B7" s="169">
        <v>110462.8</v>
      </c>
      <c r="C7" s="169">
        <v>157262.9</v>
      </c>
      <c r="D7" s="169">
        <v>133862.79999999999</v>
      </c>
      <c r="E7" s="143"/>
      <c r="F7" s="174">
        <v>5</v>
      </c>
      <c r="G7" s="169">
        <v>54646.879999999997</v>
      </c>
      <c r="H7" s="169">
        <v>124653.1</v>
      </c>
      <c r="I7" s="169">
        <v>89650.01</v>
      </c>
      <c r="J7" s="145"/>
      <c r="K7" s="150">
        <v>5</v>
      </c>
      <c r="L7" s="169">
        <v>2398.027</v>
      </c>
      <c r="M7" s="169">
        <v>279181.07</v>
      </c>
      <c r="N7" s="169">
        <v>140789.5</v>
      </c>
      <c r="O7" s="142"/>
      <c r="P7" s="157">
        <v>5</v>
      </c>
      <c r="Q7" s="158">
        <f t="shared" si="1"/>
        <v>167507.70699999999</v>
      </c>
      <c r="R7" s="158">
        <f t="shared" si="0"/>
        <v>561097.07000000007</v>
      </c>
      <c r="S7" s="158">
        <f t="shared" si="2"/>
        <v>364302.31</v>
      </c>
    </row>
    <row r="8" spans="1:19">
      <c r="A8" s="151">
        <v>6</v>
      </c>
      <c r="B8" s="170">
        <v>152230.79999999999</v>
      </c>
      <c r="C8" s="170">
        <v>227168</v>
      </c>
      <c r="D8" s="170">
        <v>189699.4</v>
      </c>
      <c r="E8" s="143"/>
      <c r="F8" s="175">
        <v>6</v>
      </c>
      <c r="G8" s="170">
        <v>206918.18</v>
      </c>
      <c r="H8" s="170">
        <v>515738.9</v>
      </c>
      <c r="I8" s="170">
        <v>361328.54</v>
      </c>
      <c r="J8" s="145"/>
      <c r="K8" s="151">
        <v>6</v>
      </c>
      <c r="L8" s="152">
        <v>0</v>
      </c>
      <c r="M8" s="170">
        <v>241269.43</v>
      </c>
      <c r="N8" s="170">
        <v>107315.4</v>
      </c>
      <c r="O8" s="142"/>
      <c r="P8" s="159">
        <v>6</v>
      </c>
      <c r="Q8" s="160">
        <f t="shared" si="1"/>
        <v>359148.98</v>
      </c>
      <c r="R8" s="160">
        <f t="shared" si="0"/>
        <v>984176.33000000007</v>
      </c>
      <c r="S8" s="160">
        <f t="shared" si="2"/>
        <v>658343.34</v>
      </c>
    </row>
    <row r="9" spans="1:19">
      <c r="A9" s="143"/>
      <c r="B9" s="143"/>
      <c r="C9" s="143"/>
      <c r="D9" s="143"/>
      <c r="E9" s="143"/>
      <c r="F9" s="143"/>
      <c r="G9" s="143"/>
      <c r="H9" s="144"/>
      <c r="I9" s="144"/>
      <c r="J9" s="142"/>
      <c r="K9" s="142"/>
      <c r="L9" s="142"/>
      <c r="M9" s="142"/>
      <c r="N9" s="142"/>
      <c r="O9" s="142"/>
      <c r="P9" s="142"/>
      <c r="Q9" s="142"/>
      <c r="R9" s="142"/>
      <c r="S9" s="142"/>
    </row>
    <row r="10" spans="1:19">
      <c r="A10" s="252" t="s">
        <v>212</v>
      </c>
      <c r="B10" s="252"/>
      <c r="C10" s="252"/>
      <c r="D10" s="252"/>
      <c r="E10" s="143"/>
      <c r="F10" s="252" t="s">
        <v>213</v>
      </c>
      <c r="G10" s="252"/>
      <c r="H10" s="252"/>
      <c r="I10" s="252"/>
      <c r="J10" s="142"/>
      <c r="K10" s="252" t="s">
        <v>214</v>
      </c>
      <c r="L10" s="252"/>
      <c r="M10" s="252"/>
      <c r="N10" s="252"/>
      <c r="O10" s="142"/>
      <c r="P10" s="10"/>
      <c r="Q10" s="142"/>
      <c r="R10" s="142"/>
      <c r="S10" s="142"/>
    </row>
    <row r="11" spans="1:19">
      <c r="A11" s="161" t="s">
        <v>208</v>
      </c>
      <c r="B11" s="161" t="s">
        <v>211</v>
      </c>
      <c r="C11" s="161" t="s">
        <v>210</v>
      </c>
      <c r="D11" s="161" t="s">
        <v>191</v>
      </c>
      <c r="E11" s="143"/>
      <c r="F11" s="161" t="s">
        <v>215</v>
      </c>
      <c r="G11" s="161" t="s">
        <v>209</v>
      </c>
      <c r="H11" s="161" t="s">
        <v>216</v>
      </c>
      <c r="I11" s="161" t="s">
        <v>191</v>
      </c>
      <c r="J11" s="142"/>
      <c r="K11" s="161" t="s">
        <v>208</v>
      </c>
      <c r="L11" s="161" t="s">
        <v>209</v>
      </c>
      <c r="M11" s="161" t="s">
        <v>216</v>
      </c>
      <c r="N11" s="161" t="s">
        <v>191</v>
      </c>
      <c r="O11" s="142"/>
      <c r="P11" s="10"/>
      <c r="R11" s="142"/>
      <c r="S11" s="142"/>
    </row>
    <row r="12" spans="1:19">
      <c r="A12" s="155">
        <v>1</v>
      </c>
      <c r="B12" s="177">
        <v>4.7530260000000002</v>
      </c>
      <c r="C12" s="177">
        <v>5.9086670000000003</v>
      </c>
      <c r="D12" s="177">
        <v>5.3308470000000003</v>
      </c>
      <c r="E12" s="143"/>
      <c r="F12" s="155">
        <v>1</v>
      </c>
      <c r="G12" s="177">
        <v>2.8920706200000001</v>
      </c>
      <c r="H12" s="177">
        <v>3.7699460999999999</v>
      </c>
      <c r="I12" s="177">
        <v>3.3310084</v>
      </c>
      <c r="J12" s="142"/>
      <c r="K12" s="155">
        <v>1</v>
      </c>
      <c r="L12" s="177">
        <v>0.63511821820000003</v>
      </c>
      <c r="M12" s="177">
        <v>1.251157351</v>
      </c>
      <c r="N12" s="177">
        <v>0.94313778500000001</v>
      </c>
      <c r="O12" s="142"/>
      <c r="P12" s="14"/>
      <c r="Q12" s="143"/>
      <c r="R12" s="143"/>
      <c r="S12" s="143"/>
    </row>
    <row r="13" spans="1:19">
      <c r="A13" s="146">
        <v>2</v>
      </c>
      <c r="B13" s="176">
        <v>17.033252999999998</v>
      </c>
      <c r="C13" s="176">
        <v>19.260826000000002</v>
      </c>
      <c r="D13" s="176">
        <v>18.147038999999999</v>
      </c>
      <c r="E13" s="143"/>
      <c r="F13" s="146">
        <v>2</v>
      </c>
      <c r="G13" s="176">
        <v>3.7669011800000001</v>
      </c>
      <c r="H13" s="176">
        <v>4.7119344999999999</v>
      </c>
      <c r="I13" s="176">
        <v>4.2394179000000003</v>
      </c>
      <c r="J13" s="142"/>
      <c r="K13" s="146">
        <v>2</v>
      </c>
      <c r="L13" s="176">
        <v>0.91317766639999998</v>
      </c>
      <c r="M13" s="176">
        <v>1.624797595</v>
      </c>
      <c r="N13" s="176">
        <v>1.2689876309999999</v>
      </c>
      <c r="O13" s="142"/>
      <c r="P13" s="14"/>
      <c r="Q13" s="143"/>
      <c r="R13" s="143"/>
      <c r="S13" s="143"/>
    </row>
    <row r="14" spans="1:19">
      <c r="A14" s="157">
        <v>3</v>
      </c>
      <c r="B14" s="178">
        <v>21.49466</v>
      </c>
      <c r="C14" s="178">
        <v>24.505776000000001</v>
      </c>
      <c r="D14" s="178">
        <v>23.000218</v>
      </c>
      <c r="E14" s="143"/>
      <c r="F14" s="157">
        <v>3</v>
      </c>
      <c r="G14" s="178">
        <v>0.18268762</v>
      </c>
      <c r="H14" s="178">
        <v>0.75034350000000005</v>
      </c>
      <c r="I14" s="178">
        <v>0.46651559999999997</v>
      </c>
      <c r="J14" s="142"/>
      <c r="K14" s="157">
        <v>3</v>
      </c>
      <c r="L14" s="158">
        <v>2.7280540000000002E-6</v>
      </c>
      <c r="M14" s="178">
        <v>9.8897711999999999E-2</v>
      </c>
      <c r="N14" s="178">
        <v>3.4936916999999998E-2</v>
      </c>
      <c r="O14" s="142"/>
      <c r="P14" s="14"/>
      <c r="Q14" s="143"/>
      <c r="R14" s="143"/>
      <c r="S14" s="143"/>
    </row>
    <row r="15" spans="1:19">
      <c r="A15" s="146">
        <v>4</v>
      </c>
      <c r="B15" s="176">
        <v>6.274451</v>
      </c>
      <c r="C15" s="176">
        <v>7.146808</v>
      </c>
      <c r="D15" s="176">
        <v>6.7106300000000001</v>
      </c>
      <c r="E15" s="143"/>
      <c r="F15" s="146">
        <v>4</v>
      </c>
      <c r="G15" s="176">
        <v>9.1125059999999994E-2</v>
      </c>
      <c r="H15" s="176">
        <v>0.26610260000000002</v>
      </c>
      <c r="I15" s="176">
        <v>0.17861379999999999</v>
      </c>
      <c r="J15" s="142"/>
      <c r="K15" s="146">
        <v>4</v>
      </c>
      <c r="L15" s="176">
        <v>3.9726179999999999E-4</v>
      </c>
      <c r="M15" s="176">
        <v>4.6575740000000003E-3</v>
      </c>
      <c r="N15" s="176">
        <v>2.527418E-3</v>
      </c>
      <c r="O15" s="142"/>
      <c r="P15" s="14"/>
      <c r="Q15" s="143"/>
      <c r="R15" s="143"/>
      <c r="S15" s="143"/>
    </row>
    <row r="16" spans="1:19">
      <c r="A16" s="157">
        <v>5</v>
      </c>
      <c r="B16" s="178">
        <v>5.1468119999999997</v>
      </c>
      <c r="C16" s="178">
        <v>5.7959129999999996</v>
      </c>
      <c r="D16" s="178">
        <v>5.4713630000000002</v>
      </c>
      <c r="E16" s="143"/>
      <c r="F16" s="157">
        <v>5</v>
      </c>
      <c r="G16" s="178">
        <v>4.384714E-2</v>
      </c>
      <c r="H16" s="178">
        <v>0.10517170000000001</v>
      </c>
      <c r="I16" s="178">
        <v>7.4509400000000003E-2</v>
      </c>
      <c r="J16" s="142"/>
      <c r="K16" s="157">
        <v>5</v>
      </c>
      <c r="L16" s="178">
        <v>2.1685743E-3</v>
      </c>
      <c r="M16" s="178">
        <v>1.0526101E-2</v>
      </c>
      <c r="N16" s="178">
        <v>6.3473380000000001E-3</v>
      </c>
      <c r="O16" s="142"/>
      <c r="P16" s="14"/>
      <c r="Q16" s="143"/>
      <c r="R16" s="143"/>
      <c r="S16" s="143"/>
    </row>
    <row r="17" spans="1:19">
      <c r="A17" s="159">
        <v>6</v>
      </c>
      <c r="B17" s="179">
        <v>3.3105859999999998</v>
      </c>
      <c r="C17" s="179">
        <v>4.162998</v>
      </c>
      <c r="D17" s="179">
        <v>3.7367919999999999</v>
      </c>
      <c r="E17" s="143"/>
      <c r="F17" s="159">
        <v>6</v>
      </c>
      <c r="G17" s="179">
        <v>0.18766701</v>
      </c>
      <c r="H17" s="179">
        <v>0.38405420000000001</v>
      </c>
      <c r="I17" s="179">
        <v>0.28586060000000002</v>
      </c>
      <c r="J17" s="142"/>
      <c r="K17" s="159">
        <v>6</v>
      </c>
      <c r="L17" s="179">
        <v>0</v>
      </c>
      <c r="M17" s="179">
        <v>2.0822798999999999E-2</v>
      </c>
      <c r="N17" s="179">
        <v>9.6160510000000005E-3</v>
      </c>
      <c r="O17" s="142"/>
      <c r="P17" s="14"/>
      <c r="Q17" s="143"/>
      <c r="R17" s="143"/>
      <c r="S17" s="143"/>
    </row>
    <row r="18" spans="1:19">
      <c r="A18" s="143"/>
      <c r="B18" s="143"/>
      <c r="C18" s="143"/>
      <c r="D18" s="143"/>
      <c r="E18" s="143"/>
      <c r="F18" s="142"/>
      <c r="G18" s="142"/>
      <c r="H18" s="142"/>
      <c r="I18" s="142"/>
      <c r="J18" s="142"/>
      <c r="K18" s="142"/>
      <c r="L18" s="142"/>
      <c r="M18" s="142"/>
      <c r="N18" s="142"/>
      <c r="O18" s="142"/>
      <c r="P18" s="10"/>
      <c r="Q18" s="142"/>
      <c r="R18" s="142"/>
      <c r="S18" s="142"/>
    </row>
    <row r="19" spans="1:19">
      <c r="A19" s="252" t="s">
        <v>217</v>
      </c>
      <c r="B19" s="252"/>
      <c r="C19" s="252"/>
      <c r="D19" s="252"/>
      <c r="E19" s="143"/>
      <c r="F19" s="252" t="s">
        <v>218</v>
      </c>
      <c r="G19" s="252"/>
      <c r="H19" s="252"/>
      <c r="I19" s="252"/>
      <c r="J19" s="142"/>
      <c r="K19" s="252" t="s">
        <v>219</v>
      </c>
      <c r="L19" s="252"/>
      <c r="M19" s="252"/>
      <c r="N19" s="252"/>
      <c r="O19" s="142"/>
      <c r="P19" s="142"/>
      <c r="Q19" s="142"/>
      <c r="R19" s="142"/>
      <c r="S19" s="142"/>
    </row>
    <row r="20" spans="1:19">
      <c r="A20" s="161" t="s">
        <v>208</v>
      </c>
      <c r="B20" s="161" t="s">
        <v>211</v>
      </c>
      <c r="C20" s="161" t="s">
        <v>210</v>
      </c>
      <c r="D20" s="161" t="s">
        <v>191</v>
      </c>
      <c r="E20" s="143"/>
      <c r="F20" s="161" t="s">
        <v>208</v>
      </c>
      <c r="G20" s="161" t="s">
        <v>209</v>
      </c>
      <c r="H20" s="161" t="s">
        <v>210</v>
      </c>
      <c r="I20" s="161" t="s">
        <v>191</v>
      </c>
      <c r="J20" s="142"/>
      <c r="K20" s="162" t="s">
        <v>208</v>
      </c>
      <c r="L20" s="161" t="s">
        <v>209</v>
      </c>
      <c r="M20" s="161" t="s">
        <v>216</v>
      </c>
      <c r="N20" s="161" t="s">
        <v>191</v>
      </c>
      <c r="O20" s="142"/>
      <c r="P20" s="142"/>
      <c r="Q20" s="142"/>
      <c r="R20" s="142"/>
      <c r="S20" s="142"/>
    </row>
    <row r="21" spans="1:19">
      <c r="A21" s="155">
        <v>1</v>
      </c>
      <c r="B21" s="177">
        <v>115378.04</v>
      </c>
      <c r="C21" s="177">
        <v>128504.4</v>
      </c>
      <c r="D21" s="177">
        <v>121941.22</v>
      </c>
      <c r="E21" s="143"/>
      <c r="F21" s="155">
        <v>1</v>
      </c>
      <c r="G21" s="181">
        <v>1618092</v>
      </c>
      <c r="H21" s="181">
        <v>1760330</v>
      </c>
      <c r="I21" s="181">
        <v>1689211</v>
      </c>
      <c r="J21" s="180"/>
      <c r="K21" s="172">
        <v>1</v>
      </c>
      <c r="L21" s="181">
        <v>13474916</v>
      </c>
      <c r="M21" s="181">
        <v>17761482</v>
      </c>
      <c r="N21" s="181">
        <v>15618199</v>
      </c>
      <c r="O21" s="142"/>
      <c r="P21" s="142"/>
      <c r="Q21" s="142"/>
      <c r="R21" s="142"/>
      <c r="S21" s="142"/>
    </row>
    <row r="22" spans="1:19">
      <c r="A22" s="146">
        <v>2</v>
      </c>
      <c r="B22" s="176">
        <v>62700.04</v>
      </c>
      <c r="C22" s="176">
        <v>71005.100000000006</v>
      </c>
      <c r="D22" s="176">
        <v>66852.570000000007</v>
      </c>
      <c r="E22" s="143"/>
      <c r="F22" s="146">
        <v>2</v>
      </c>
      <c r="G22" s="12">
        <v>1722249</v>
      </c>
      <c r="H22" s="12">
        <v>1879415</v>
      </c>
      <c r="I22" s="12">
        <v>1800832</v>
      </c>
      <c r="J22" s="180"/>
      <c r="K22" s="173">
        <v>2</v>
      </c>
      <c r="L22" s="12">
        <v>21894899</v>
      </c>
      <c r="M22" s="12">
        <v>32170861</v>
      </c>
      <c r="N22" s="12">
        <v>27032880</v>
      </c>
      <c r="O22" s="142"/>
      <c r="P22" s="142"/>
      <c r="Q22" s="142"/>
      <c r="R22" s="142"/>
      <c r="S22" s="142"/>
    </row>
    <row r="23" spans="1:19">
      <c r="A23" s="157">
        <v>3</v>
      </c>
      <c r="B23" s="178">
        <v>19922.48</v>
      </c>
      <c r="C23" s="178">
        <v>24836.39</v>
      </c>
      <c r="D23" s="178">
        <v>22379.439999999999</v>
      </c>
      <c r="E23" s="143"/>
      <c r="F23" s="157">
        <v>3</v>
      </c>
      <c r="G23" s="182">
        <v>1151122</v>
      </c>
      <c r="H23" s="182">
        <v>1372402</v>
      </c>
      <c r="I23" s="182">
        <v>1261762</v>
      </c>
      <c r="J23" s="180"/>
      <c r="K23" s="174">
        <v>3</v>
      </c>
      <c r="L23" s="182">
        <v>6836080</v>
      </c>
      <c r="M23" s="182">
        <v>7683538</v>
      </c>
      <c r="N23" s="182">
        <v>7259809</v>
      </c>
      <c r="O23" s="142"/>
      <c r="P23" s="142"/>
      <c r="Q23" s="142"/>
      <c r="R23" s="142"/>
      <c r="S23" s="142"/>
    </row>
    <row r="24" spans="1:19">
      <c r="A24" s="146">
        <v>4</v>
      </c>
      <c r="B24" s="176">
        <v>22788.400000000001</v>
      </c>
      <c r="C24" s="176">
        <v>28557.58</v>
      </c>
      <c r="D24" s="176">
        <v>25672.99</v>
      </c>
      <c r="E24" s="143"/>
      <c r="F24" s="146">
        <v>4</v>
      </c>
      <c r="G24" s="12">
        <v>1175298</v>
      </c>
      <c r="H24" s="12">
        <v>1415357</v>
      </c>
      <c r="I24" s="12">
        <v>1295328</v>
      </c>
      <c r="J24" s="180"/>
      <c r="K24" s="173">
        <v>4</v>
      </c>
      <c r="L24" s="12">
        <v>9431026</v>
      </c>
      <c r="M24" s="12">
        <v>12029764</v>
      </c>
      <c r="N24" s="12">
        <v>10730395</v>
      </c>
      <c r="O24" s="142"/>
      <c r="P24" s="142"/>
      <c r="Q24" s="142"/>
      <c r="R24" s="142"/>
      <c r="S24" s="142"/>
    </row>
    <row r="25" spans="1:19">
      <c r="A25" s="157">
        <v>5</v>
      </c>
      <c r="B25" s="178">
        <v>24317.79</v>
      </c>
      <c r="C25" s="178">
        <v>30150.38</v>
      </c>
      <c r="D25" s="178">
        <v>27234.080000000002</v>
      </c>
      <c r="E25" s="143"/>
      <c r="F25" s="157">
        <v>5</v>
      </c>
      <c r="G25" s="182">
        <v>1289242</v>
      </c>
      <c r="H25" s="182">
        <v>1592576</v>
      </c>
      <c r="I25" s="182">
        <v>1440909</v>
      </c>
      <c r="J25" s="180"/>
      <c r="K25" s="174">
        <v>5</v>
      </c>
      <c r="L25" s="182">
        <v>12965270</v>
      </c>
      <c r="M25" s="182">
        <v>19099580</v>
      </c>
      <c r="N25" s="182">
        <v>16032425</v>
      </c>
      <c r="O25" s="142"/>
      <c r="P25" s="142"/>
      <c r="Q25" s="142"/>
      <c r="R25" s="142"/>
      <c r="S25" s="142"/>
    </row>
    <row r="26" spans="1:19">
      <c r="A26" s="159">
        <v>6</v>
      </c>
      <c r="B26" s="179">
        <v>35287.4</v>
      </c>
      <c r="C26" s="179">
        <v>42355.05</v>
      </c>
      <c r="D26" s="179">
        <v>38821.230000000003</v>
      </c>
      <c r="E26" s="143"/>
      <c r="F26" s="159">
        <v>6</v>
      </c>
      <c r="G26" s="183">
        <v>1223742</v>
      </c>
      <c r="H26" s="183">
        <v>1473160</v>
      </c>
      <c r="I26" s="183">
        <v>1348451</v>
      </c>
      <c r="J26" s="180"/>
      <c r="K26" s="175">
        <v>6</v>
      </c>
      <c r="L26" s="183">
        <v>8927984</v>
      </c>
      <c r="M26" s="183">
        <v>10621326</v>
      </c>
      <c r="N26" s="183">
        <v>9774655</v>
      </c>
      <c r="O26" s="142"/>
      <c r="P26" s="142"/>
      <c r="Q26" s="142"/>
      <c r="R26" s="142"/>
      <c r="S26" s="142"/>
    </row>
    <row r="27" spans="1:19">
      <c r="A27" s="13"/>
      <c r="B27" s="13"/>
      <c r="C27" s="13"/>
      <c r="D27" s="13"/>
      <c r="E27" s="13"/>
    </row>
    <row r="28" spans="1:19">
      <c r="E28" s="13"/>
    </row>
    <row r="29" spans="1:19">
      <c r="E29" s="13"/>
      <c r="K29" s="10"/>
    </row>
    <row r="30" spans="1:19">
      <c r="E30" s="13"/>
      <c r="K30" s="10"/>
    </row>
    <row r="31" spans="1:19">
      <c r="E31" s="13"/>
      <c r="K31" s="10"/>
    </row>
    <row r="32" spans="1:19">
      <c r="E32" s="13"/>
      <c r="F32" s="13"/>
      <c r="G32" s="13"/>
      <c r="H32" s="13"/>
      <c r="I32" s="13"/>
      <c r="K32" s="10"/>
    </row>
    <row r="33" spans="5:11">
      <c r="E33" s="13"/>
      <c r="K33" s="10"/>
    </row>
    <row r="34" spans="5:11">
      <c r="E34" s="13"/>
      <c r="K34" s="10"/>
    </row>
    <row r="35" spans="5:11">
      <c r="E35" s="13"/>
      <c r="K35" s="10"/>
    </row>
    <row r="41" spans="5:11">
      <c r="F41" s="13"/>
      <c r="G41" s="13"/>
      <c r="H41" s="13"/>
      <c r="I41" s="13"/>
    </row>
  </sheetData>
  <mergeCells count="10">
    <mergeCell ref="P1:S1"/>
    <mergeCell ref="A10:D10"/>
    <mergeCell ref="F10:I10"/>
    <mergeCell ref="F19:I19"/>
    <mergeCell ref="K19:N19"/>
    <mergeCell ref="A1:D1"/>
    <mergeCell ref="K1:N1"/>
    <mergeCell ref="F1:I1"/>
    <mergeCell ref="K10:N10"/>
    <mergeCell ref="A19:D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E43F-B820-47D5-B768-0D1A7E495E38}">
  <sheetPr>
    <tabColor rgb="FF4472C4"/>
  </sheetPr>
  <dimension ref="A1:P80"/>
  <sheetViews>
    <sheetView workbookViewId="0">
      <selection activeCell="O11" sqref="O11"/>
    </sheetView>
  </sheetViews>
  <sheetFormatPr defaultRowHeight="15"/>
  <cols>
    <col min="1" max="1" width="10" bestFit="1" customWidth="1"/>
    <col min="2" max="2" width="12.140625" bestFit="1" customWidth="1"/>
    <col min="3" max="4" width="12.5703125" bestFit="1" customWidth="1"/>
    <col min="6" max="6" width="9.5703125" bestFit="1" customWidth="1"/>
    <col min="7" max="7" width="10.42578125" bestFit="1" customWidth="1"/>
    <col min="8" max="8" width="9.85546875" bestFit="1" customWidth="1"/>
    <col min="9" max="9" width="10.7109375" bestFit="1" customWidth="1"/>
  </cols>
  <sheetData>
    <row r="1" spans="1:16">
      <c r="A1" s="255" t="s">
        <v>207</v>
      </c>
      <c r="B1" s="255"/>
      <c r="C1" s="255"/>
      <c r="D1" s="255"/>
      <c r="E1" s="255"/>
      <c r="F1" s="255"/>
      <c r="G1" s="255"/>
      <c r="H1" s="13"/>
      <c r="I1" s="254" t="s">
        <v>220</v>
      </c>
      <c r="J1" s="254"/>
      <c r="K1" s="254"/>
      <c r="L1" s="254"/>
      <c r="M1" s="254"/>
      <c r="N1" s="254"/>
      <c r="O1" s="254"/>
      <c r="P1" s="13"/>
    </row>
    <row r="2" spans="1:16">
      <c r="A2" s="60" t="str" cm="1">
        <f t="array" ref="A2:G5">TRANSPOSE('Prediction Results'!$P$2:$S$8)</f>
        <v>Region</v>
      </c>
      <c r="B2" s="60">
        <v>1</v>
      </c>
      <c r="C2" s="60">
        <v>2</v>
      </c>
      <c r="D2" s="60">
        <v>3</v>
      </c>
      <c r="E2" s="60">
        <v>4</v>
      </c>
      <c r="F2" s="60">
        <v>5</v>
      </c>
      <c r="G2" s="60">
        <v>6</v>
      </c>
      <c r="H2" s="13"/>
      <c r="I2" s="164" t="s">
        <v>215</v>
      </c>
      <c r="J2" s="165">
        <v>1</v>
      </c>
      <c r="K2" s="164">
        <v>2</v>
      </c>
      <c r="L2" s="164">
        <v>3</v>
      </c>
      <c r="M2" s="164">
        <v>4</v>
      </c>
      <c r="N2" s="164">
        <v>5</v>
      </c>
      <c r="O2" s="164">
        <v>6</v>
      </c>
      <c r="P2" s="13"/>
    </row>
    <row r="3" spans="1:16">
      <c r="A3" s="60" t="str">
        <v xml:space="preserve">Lower </v>
      </c>
      <c r="B3" s="61">
        <v>12780129.147</v>
      </c>
      <c r="C3" s="61">
        <v>21975731.226999998</v>
      </c>
      <c r="D3" s="61">
        <v>909155.29</v>
      </c>
      <c r="E3" s="57">
        <v>253926.89500000002</v>
      </c>
      <c r="F3" s="57">
        <v>167507.70699999999</v>
      </c>
      <c r="G3" s="57">
        <v>359148.98</v>
      </c>
      <c r="H3" s="14"/>
      <c r="I3" s="164" t="s">
        <v>172</v>
      </c>
      <c r="J3" s="163">
        <f>IF(Costing!$B$4 = "lower", B9/B$3, IF(Costing!$B$4 = "upper", B10/B$4, IF(Costing!$B$4 = "average", B11/B$5, "Invalid")))</f>
        <v>3.1256043192678572E-2</v>
      </c>
      <c r="K3" s="163">
        <f>IF(Costing!$B$4 = "lower", C9/C$3, IF(Costing!$B$4 = "upper", C10/C$4, IF(Costing!$B$4 = "average", C11/C$5, "Invalid")))</f>
        <v>3.1120779247122369E-2</v>
      </c>
      <c r="L3" s="163">
        <f>IF(Costing!$B$4 = "lower", D9/D$3, IF(Costing!$B$4 = "upper", D10/D$4, IF(Costing!$B$4 = "average", D11/D$5, "Invalid")))</f>
        <v>0.47753339190003519</v>
      </c>
      <c r="M3" s="163">
        <f>IF(Costing!$B$4 = "lower", E9/E$3, IF(Costing!$B$4 = "upper", E10/E$4, IF(Costing!$B$4 = "average", E11/E$5, "Invalid")))</f>
        <v>0.40299144862549569</v>
      </c>
      <c r="N3" s="163">
        <f>IF(Costing!$B$4 = "lower", F9/F$3, IF(Costing!$B$4 = "upper", F10/F$4, IF(Costing!$B$4 = "average", F11/F$5, "Invalid")))</f>
        <v>0.28027752844975645</v>
      </c>
      <c r="O3" s="163">
        <f>IF(Costing!$B$4 = "lower", G9/G$3, IF(Costing!$B$4 = "upper", G10/G$4, IF(Costing!$B$4 = "average", G11/G$5, "Invalid")))</f>
        <v>0.23082042625430749</v>
      </c>
      <c r="P3" s="13"/>
    </row>
    <row r="4" spans="1:16">
      <c r="A4" s="60" t="str">
        <v>Upper</v>
      </c>
      <c r="B4" s="61">
        <v>26198434.489999998</v>
      </c>
      <c r="C4" s="61">
        <v>37307317.75</v>
      </c>
      <c r="D4" s="61">
        <v>2251689.0299999998</v>
      </c>
      <c r="E4" s="57">
        <v>537374.42999999993</v>
      </c>
      <c r="F4" s="57">
        <v>561097.07000000007</v>
      </c>
      <c r="G4" s="57">
        <v>984176.33000000007</v>
      </c>
      <c r="H4" s="14"/>
      <c r="I4" s="165" t="s">
        <v>221</v>
      </c>
      <c r="J4" s="163">
        <f>IF(Costing!$B$4 = "lower", B15/B$3, IF(Costing!$B$4 = "upper", B16/B$4, IF(Costing!$B$4 = "average", B17/B$5, "Invalid")))</f>
        <v>0.25220269564282655</v>
      </c>
      <c r="K4" s="163">
        <f>IF(Costing!$B$4 = "lower", C15/C$3, IF(Costing!$B$4 = "upper", C16/C$4, IF(Costing!$B$4 = "average", C17/C$5, "Invalid")))</f>
        <v>0.2356982632448831</v>
      </c>
      <c r="L4" s="163">
        <f>IF(Costing!$B$4 = "lower", D15/D$3, IF(Costing!$B$4 = "upper", D16/D$4, IF(Costing!$B$4 = "average", D17/D$5, "Invalid")))</f>
        <v>0.29341005405173554</v>
      </c>
      <c r="M4" s="163">
        <f>IF(Costing!$B$4 = "lower", E15/E$3, IF(Costing!$B$4 = "upper", E16/E$4, IF(Costing!$B$4 = "average", E17/E$5, "Invalid")))</f>
        <v>0.53459279780022295</v>
      </c>
      <c r="N4" s="163">
        <f>IF(Costing!$B$4 = "lower", F15/F$3, IF(Costing!$B$4 = "upper", F16/F$4, IF(Costing!$B$4 = "average", F17/F$5, "Invalid")))</f>
        <v>0.22215959887297218</v>
      </c>
      <c r="O4" s="163">
        <f>IF(Costing!$B$4 = "lower", G15/G$3, IF(Costing!$B$4 = "upper", G16/G$4, IF(Costing!$B$4 = "average", G17/G$5, "Invalid")))</f>
        <v>0.52403099351109161</v>
      </c>
      <c r="P4" s="13"/>
    </row>
    <row r="5" spans="1:16">
      <c r="A5" s="60" t="str">
        <v>Average</v>
      </c>
      <c r="B5" s="61">
        <v>19489281.75</v>
      </c>
      <c r="C5" s="61">
        <v>29641524.510000002</v>
      </c>
      <c r="D5" s="61">
        <v>1506779.52</v>
      </c>
      <c r="E5" s="57">
        <v>395650.72</v>
      </c>
      <c r="F5" s="57">
        <v>364302.31</v>
      </c>
      <c r="G5" s="57">
        <v>658343.34</v>
      </c>
      <c r="H5" s="14"/>
      <c r="I5" s="165" t="s">
        <v>177</v>
      </c>
      <c r="J5" s="163">
        <f>IF(Costing!$B$4 = "lower", B21/B$3, IF(Costing!$B$4 = "upper", B22/B$4, IF(Costing!$B$4 = "average", B23/B$5, "Invalid")))</f>
        <v>0.7165412611644949</v>
      </c>
      <c r="K5" s="163">
        <f>IF(Costing!$B$4 = "lower", C21/C$3, IF(Costing!$B$4 = "upper", C22/C$4, IF(Costing!$B$4 = "average", C23/C$5, "Invalid")))</f>
        <v>0.7331809575079945</v>
      </c>
      <c r="L5" s="163">
        <f>IF(Costing!$B$4 = "lower", D21/D$3, IF(Costing!$B$4 = "upper", D22/D$4, IF(Costing!$B$4 = "average", D23/D$5, "Invalid")))</f>
        <v>0.22905655404822933</v>
      </c>
      <c r="M5" s="163">
        <f>IF(Costing!$B$4 = "lower", E21/E$3, IF(Costing!$B$4 = "upper", E22/E$4, IF(Costing!$B$4 = "average", E23/E$5, "Invalid")))</f>
        <v>6.2415753574281536E-2</v>
      </c>
      <c r="N5" s="163">
        <f>IF(Costing!$B$4 = "lower", F21/F$3, IF(Costing!$B$4 = "upper", F22/F$4, IF(Costing!$B$4 = "average", F23/F$5, "Invalid")))</f>
        <v>0.49756287267727128</v>
      </c>
      <c r="O5" s="163">
        <f>IF(Costing!$B$4 = "lower", G21/G$3, IF(Costing!$B$4 = "upper", G22/G$4, IF(Costing!$B$4 = "average", G23/G$5, "Invalid")))</f>
        <v>0.24514858023460082</v>
      </c>
      <c r="P5" s="13"/>
    </row>
    <row r="6" spans="1:16">
      <c r="A6" s="13"/>
      <c r="B6" s="15"/>
      <c r="C6" s="15"/>
      <c r="D6" s="15"/>
      <c r="E6" s="13"/>
      <c r="F6" s="13"/>
      <c r="G6" s="13"/>
      <c r="H6" s="14"/>
      <c r="I6" s="14"/>
      <c r="J6" s="14"/>
      <c r="K6" s="13"/>
      <c r="L6" s="13"/>
      <c r="M6" s="13"/>
      <c r="N6" s="13"/>
      <c r="O6" s="13"/>
      <c r="P6" s="13"/>
    </row>
    <row r="7" spans="1:16">
      <c r="A7" s="251" t="s">
        <v>222</v>
      </c>
      <c r="B7" s="251"/>
      <c r="C7" s="251"/>
      <c r="D7" s="251"/>
      <c r="E7" s="251"/>
      <c r="F7" s="251"/>
      <c r="G7" s="251"/>
      <c r="H7" s="14"/>
      <c r="I7" s="14"/>
      <c r="J7" s="14"/>
      <c r="K7" s="14"/>
      <c r="L7" s="14"/>
      <c r="M7" s="14"/>
      <c r="N7" s="14"/>
      <c r="O7" s="14"/>
      <c r="P7" s="13"/>
    </row>
    <row r="8" spans="1:16">
      <c r="A8" s="60" t="str" cm="1">
        <f t="array" ref="A8:G11">TRANSPOSE('Prediction Results'!$A$2:$D$8)</f>
        <v>Region</v>
      </c>
      <c r="B8" s="64">
        <v>1</v>
      </c>
      <c r="C8" s="64">
        <v>2</v>
      </c>
      <c r="D8" s="64">
        <v>3</v>
      </c>
      <c r="E8" s="60">
        <v>4</v>
      </c>
      <c r="F8" s="60">
        <v>5</v>
      </c>
      <c r="G8" s="60">
        <v>6</v>
      </c>
      <c r="H8" s="14"/>
      <c r="I8" s="14"/>
      <c r="J8" s="14"/>
      <c r="K8" s="13"/>
      <c r="L8" s="13"/>
      <c r="M8" s="13"/>
      <c r="N8" s="13"/>
      <c r="O8" s="13"/>
      <c r="P8" s="13"/>
    </row>
    <row r="9" spans="1:16">
      <c r="A9" s="60" t="str">
        <v xml:space="preserve">Lower </v>
      </c>
      <c r="B9" s="57">
        <v>637301.5</v>
      </c>
      <c r="C9" s="57">
        <v>957089.4</v>
      </c>
      <c r="D9" s="57">
        <v>708746.3</v>
      </c>
      <c r="E9" s="57">
        <v>159923</v>
      </c>
      <c r="F9" s="57">
        <v>110462.8</v>
      </c>
      <c r="G9" s="57">
        <v>152230.79999999999</v>
      </c>
      <c r="H9" s="14"/>
      <c r="I9" s="14"/>
      <c r="J9" s="13"/>
      <c r="K9" s="13"/>
      <c r="L9" s="13"/>
      <c r="M9" s="13"/>
      <c r="N9" s="13"/>
      <c r="O9" s="13"/>
      <c r="P9" s="13"/>
    </row>
    <row r="10" spans="1:16">
      <c r="A10" s="60" t="str">
        <v>Upper</v>
      </c>
      <c r="B10" s="57">
        <v>818859.4</v>
      </c>
      <c r="C10" s="57">
        <v>1161032.8</v>
      </c>
      <c r="D10" s="57">
        <v>1075256.7</v>
      </c>
      <c r="E10" s="57">
        <v>216557.3</v>
      </c>
      <c r="F10" s="57">
        <v>157262.9</v>
      </c>
      <c r="G10" s="57">
        <v>227168</v>
      </c>
      <c r="H10" s="13"/>
      <c r="I10" s="13"/>
      <c r="J10" s="13"/>
      <c r="K10" s="13"/>
      <c r="L10" s="13"/>
      <c r="M10" s="13"/>
      <c r="N10" s="13"/>
      <c r="O10" s="13"/>
      <c r="P10" s="13"/>
    </row>
    <row r="11" spans="1:16">
      <c r="A11" s="60" t="str">
        <v>Average</v>
      </c>
      <c r="B11" s="57">
        <v>728080.4</v>
      </c>
      <c r="C11" s="57">
        <v>1059061.1000000001</v>
      </c>
      <c r="D11" s="57">
        <v>892001.5</v>
      </c>
      <c r="E11" s="57">
        <v>188240.2</v>
      </c>
      <c r="F11" s="57">
        <v>133862.79999999999</v>
      </c>
      <c r="G11" s="57">
        <v>189699.4</v>
      </c>
      <c r="H11" s="13"/>
      <c r="I11" s="13"/>
      <c r="J11" s="13"/>
      <c r="K11" s="13"/>
      <c r="L11" s="13"/>
      <c r="M11" s="13"/>
      <c r="N11" s="13"/>
      <c r="O11" s="13"/>
      <c r="P11" s="13"/>
    </row>
    <row r="12" spans="1:16">
      <c r="A12" s="13"/>
      <c r="B12" s="15"/>
      <c r="C12" s="15"/>
      <c r="D12" s="15"/>
      <c r="E12" s="13"/>
      <c r="F12" s="13"/>
      <c r="G12" s="58"/>
      <c r="H12" s="58"/>
      <c r="I12" s="58"/>
      <c r="J12" s="13"/>
      <c r="K12" s="13"/>
      <c r="L12" s="13"/>
      <c r="M12" s="13"/>
      <c r="N12" s="13"/>
      <c r="O12" s="13"/>
      <c r="P12" s="13"/>
    </row>
    <row r="13" spans="1:16">
      <c r="A13" s="251" t="s">
        <v>223</v>
      </c>
      <c r="B13" s="251"/>
      <c r="C13" s="251"/>
      <c r="D13" s="251"/>
      <c r="E13" s="251"/>
      <c r="F13" s="251"/>
      <c r="G13" s="251"/>
      <c r="H13" s="58"/>
      <c r="I13" s="58"/>
      <c r="J13" s="13"/>
      <c r="K13" s="13"/>
      <c r="L13" s="13"/>
      <c r="M13" s="13"/>
      <c r="N13" s="13"/>
      <c r="O13" s="13"/>
      <c r="P13" s="13"/>
    </row>
    <row r="14" spans="1:16">
      <c r="A14" s="60" t="str" cm="1">
        <f t="array" ref="A14:G17">TRANSPOSE('Prediction Results'!$F$2:$I$8)</f>
        <v>Region</v>
      </c>
      <c r="B14" s="64">
        <v>1</v>
      </c>
      <c r="C14" s="64">
        <v>2</v>
      </c>
      <c r="D14" s="64">
        <v>3</v>
      </c>
      <c r="E14" s="60">
        <v>4</v>
      </c>
      <c r="F14" s="60">
        <v>5</v>
      </c>
      <c r="G14" s="65">
        <v>6</v>
      </c>
      <c r="H14" s="59"/>
      <c r="I14" s="59"/>
      <c r="J14" s="13"/>
      <c r="K14" s="13"/>
      <c r="L14" s="13"/>
      <c r="M14" s="13"/>
      <c r="N14" s="13"/>
      <c r="O14" s="13"/>
      <c r="P14" s="13"/>
    </row>
    <row r="15" spans="1:16">
      <c r="A15" s="60" t="str">
        <v>Lower</v>
      </c>
      <c r="B15" s="61">
        <v>4869045.72</v>
      </c>
      <c r="C15" s="61">
        <v>6708810.2599999998</v>
      </c>
      <c r="D15" s="61">
        <v>200408.99</v>
      </c>
      <c r="E15" s="57">
        <v>89789.32</v>
      </c>
      <c r="F15" s="57">
        <v>54646.879999999997</v>
      </c>
      <c r="G15" s="66">
        <v>206918.18</v>
      </c>
      <c r="H15" s="59"/>
      <c r="I15" s="59"/>
      <c r="J15" s="13"/>
      <c r="K15" s="13"/>
      <c r="L15" s="13"/>
      <c r="M15" s="13"/>
      <c r="N15" s="13"/>
      <c r="O15" s="13"/>
      <c r="P15" s="13"/>
    </row>
    <row r="16" spans="1:16">
      <c r="A16" s="60" t="str">
        <v>Upper</v>
      </c>
      <c r="B16" s="61">
        <v>6607315.7999999998</v>
      </c>
      <c r="C16" s="61">
        <v>8793270</v>
      </c>
      <c r="D16" s="61">
        <v>660668.19999999995</v>
      </c>
      <c r="E16" s="57">
        <v>287276.5</v>
      </c>
      <c r="F16" s="57">
        <v>124653.1</v>
      </c>
      <c r="G16" s="66">
        <v>515738.9</v>
      </c>
      <c r="H16" s="59"/>
      <c r="I16" s="59"/>
      <c r="J16" s="13"/>
      <c r="K16" s="13"/>
      <c r="L16" s="13"/>
      <c r="M16" s="13"/>
      <c r="N16" s="13"/>
      <c r="O16" s="13"/>
      <c r="P16" s="13"/>
    </row>
    <row r="17" spans="1:16">
      <c r="A17" s="60" t="str">
        <v>Average</v>
      </c>
      <c r="B17" s="61">
        <v>5738180.75</v>
      </c>
      <c r="C17" s="61">
        <v>7751040.1100000003</v>
      </c>
      <c r="D17" s="61">
        <v>430538.62</v>
      </c>
      <c r="E17" s="57">
        <v>188532.92</v>
      </c>
      <c r="F17" s="57">
        <v>89650.01</v>
      </c>
      <c r="G17" s="67">
        <v>361328.54</v>
      </c>
      <c r="H17" s="58"/>
      <c r="I17" s="58"/>
      <c r="J17" s="13"/>
      <c r="K17" s="13"/>
      <c r="L17" s="13"/>
      <c r="M17" s="13"/>
      <c r="N17" s="13"/>
      <c r="O17" s="13"/>
      <c r="P17" s="13"/>
    </row>
    <row r="18" spans="1:16">
      <c r="A18" s="13"/>
      <c r="B18" s="13"/>
      <c r="C18" s="13"/>
      <c r="D18" s="13"/>
      <c r="E18" s="13"/>
      <c r="F18" s="13"/>
      <c r="G18" s="13"/>
      <c r="H18" s="13"/>
      <c r="I18" s="13"/>
      <c r="J18" s="13"/>
      <c r="K18" s="13"/>
      <c r="L18" s="13"/>
      <c r="M18" s="13"/>
      <c r="N18" s="13"/>
      <c r="O18" s="13"/>
      <c r="P18" s="13"/>
    </row>
    <row r="19" spans="1:16">
      <c r="A19" s="251" t="s">
        <v>224</v>
      </c>
      <c r="B19" s="251"/>
      <c r="C19" s="251"/>
      <c r="D19" s="251"/>
      <c r="E19" s="251"/>
      <c r="F19" s="251"/>
      <c r="G19" s="251"/>
      <c r="H19" s="13"/>
      <c r="I19" s="13"/>
      <c r="J19" s="13"/>
      <c r="K19" s="13"/>
      <c r="L19" s="13"/>
      <c r="M19" s="13"/>
      <c r="N19" s="13"/>
      <c r="O19" s="13"/>
      <c r="P19" s="13"/>
    </row>
    <row r="20" spans="1:16">
      <c r="A20" s="60" t="str" cm="1">
        <f t="array" ref="A20:G23">TRANSPOSE('Prediction Results'!$K$2:$N$8)</f>
        <v>Region</v>
      </c>
      <c r="B20" s="60">
        <v>1</v>
      </c>
      <c r="C20" s="60">
        <v>2</v>
      </c>
      <c r="D20" s="60">
        <v>3</v>
      </c>
      <c r="E20" s="60">
        <v>4</v>
      </c>
      <c r="F20" s="60">
        <v>5</v>
      </c>
      <c r="G20" s="60">
        <v>6</v>
      </c>
      <c r="H20" s="13"/>
      <c r="I20" s="13"/>
      <c r="J20" s="13"/>
      <c r="K20" s="14"/>
      <c r="L20" s="13"/>
      <c r="M20" s="13"/>
      <c r="N20" s="13"/>
      <c r="O20" s="13"/>
      <c r="P20" s="13"/>
    </row>
    <row r="21" spans="1:16">
      <c r="A21" s="60" t="str">
        <v>Lower</v>
      </c>
      <c r="B21" s="61">
        <v>7273781.9270000001</v>
      </c>
      <c r="C21" s="61">
        <v>14309831.567</v>
      </c>
      <c r="D21" s="61">
        <v>0</v>
      </c>
      <c r="E21" s="57">
        <v>4214.5749999999998</v>
      </c>
      <c r="F21" s="57">
        <v>2398.027</v>
      </c>
      <c r="G21" s="61">
        <v>0</v>
      </c>
      <c r="H21" s="15"/>
      <c r="I21" s="15"/>
      <c r="J21" s="13"/>
      <c r="K21" s="14"/>
      <c r="L21" s="13"/>
      <c r="M21" s="13"/>
      <c r="N21" s="13"/>
      <c r="O21" s="13"/>
      <c r="P21" s="13"/>
    </row>
    <row r="22" spans="1:16">
      <c r="A22" s="60" t="str">
        <v>Upper</v>
      </c>
      <c r="B22" s="61">
        <v>18772259.289999999</v>
      </c>
      <c r="C22" s="61">
        <v>27353014.949999999</v>
      </c>
      <c r="D22" s="61">
        <v>515764.13</v>
      </c>
      <c r="E22" s="57">
        <v>33540.629999999997</v>
      </c>
      <c r="F22" s="57">
        <v>279181.07</v>
      </c>
      <c r="G22" s="61">
        <v>241269.43</v>
      </c>
      <c r="H22" s="15"/>
      <c r="I22" s="15"/>
      <c r="J22" s="13"/>
      <c r="K22" s="14"/>
      <c r="L22" s="13"/>
      <c r="M22" s="13"/>
      <c r="N22" s="13"/>
      <c r="O22" s="13"/>
      <c r="P22" s="13"/>
    </row>
    <row r="23" spans="1:16">
      <c r="A23" s="60" t="str">
        <v>Average</v>
      </c>
      <c r="B23" s="61">
        <v>13023020.6</v>
      </c>
      <c r="C23" s="61">
        <v>20831423.300000001</v>
      </c>
      <c r="D23" s="61">
        <v>184239.4</v>
      </c>
      <c r="E23" s="57">
        <v>18877.599999999999</v>
      </c>
      <c r="F23" s="57">
        <v>140789.5</v>
      </c>
      <c r="G23" s="61">
        <v>107315.4</v>
      </c>
      <c r="H23" s="15"/>
      <c r="I23" s="15"/>
      <c r="J23" s="13"/>
      <c r="K23" s="14"/>
      <c r="L23" s="13"/>
      <c r="M23" s="13"/>
      <c r="N23" s="13"/>
      <c r="O23" s="13"/>
      <c r="P23" s="13"/>
    </row>
    <row r="24" spans="1:16">
      <c r="A24" s="13"/>
      <c r="B24" s="15"/>
      <c r="C24" s="15"/>
      <c r="D24" s="15"/>
      <c r="E24" s="13"/>
      <c r="F24" s="13"/>
      <c r="G24" s="15"/>
      <c r="H24" s="15"/>
      <c r="I24" s="15"/>
      <c r="J24" s="13"/>
      <c r="K24" s="14"/>
      <c r="L24" s="13"/>
      <c r="M24" s="13"/>
      <c r="N24" s="13"/>
      <c r="O24" s="13"/>
      <c r="P24" s="13"/>
    </row>
    <row r="25" spans="1:16">
      <c r="A25" s="13"/>
      <c r="B25" s="15"/>
      <c r="C25" s="15"/>
      <c r="D25" s="15"/>
      <c r="E25" s="13"/>
      <c r="F25" s="13"/>
      <c r="G25" s="15"/>
      <c r="H25" s="15"/>
      <c r="I25" s="15"/>
      <c r="J25" s="13"/>
      <c r="K25" s="14"/>
      <c r="L25" s="13"/>
      <c r="M25" s="13"/>
      <c r="N25" s="13"/>
      <c r="O25" s="13"/>
      <c r="P25" s="13"/>
    </row>
    <row r="26" spans="1:16">
      <c r="A26" s="13"/>
      <c r="B26" s="15"/>
      <c r="C26" s="15"/>
      <c r="D26" s="15"/>
      <c r="E26" s="13"/>
      <c r="F26" s="13"/>
      <c r="G26" s="15"/>
      <c r="H26" s="15"/>
      <c r="I26" s="15"/>
      <c r="J26" s="13"/>
      <c r="K26" s="14"/>
      <c r="L26" s="13"/>
      <c r="M26" s="13"/>
      <c r="N26" s="13"/>
      <c r="O26" s="13"/>
      <c r="P26" s="13"/>
    </row>
    <row r="27" spans="1:16">
      <c r="A27" s="13"/>
      <c r="B27" s="13"/>
      <c r="C27" s="13"/>
      <c r="D27" s="13"/>
      <c r="E27" s="13"/>
      <c r="F27" s="13"/>
      <c r="G27" s="13"/>
      <c r="H27" s="13"/>
      <c r="I27" s="13"/>
      <c r="J27" s="13"/>
      <c r="K27" s="13"/>
      <c r="L27" s="13"/>
      <c r="M27" s="13"/>
      <c r="N27" s="13"/>
      <c r="O27" s="13"/>
      <c r="P27" s="13"/>
    </row>
    <row r="28" spans="1:16">
      <c r="A28" s="13"/>
      <c r="B28" s="13"/>
      <c r="C28" s="13"/>
      <c r="D28" s="13"/>
      <c r="E28" s="13"/>
      <c r="F28" s="13"/>
      <c r="G28" s="13"/>
      <c r="H28" s="13"/>
      <c r="I28" s="13"/>
      <c r="J28" s="13"/>
      <c r="K28" s="13"/>
      <c r="L28" s="13"/>
      <c r="M28" s="13"/>
      <c r="N28" s="13"/>
      <c r="O28" s="13"/>
      <c r="P28" s="13"/>
    </row>
    <row r="29" spans="1:16">
      <c r="A29" s="13"/>
      <c r="B29" s="13"/>
      <c r="C29" s="13"/>
      <c r="D29" s="13"/>
      <c r="E29" s="13"/>
      <c r="F29" s="12"/>
      <c r="G29" s="13"/>
      <c r="H29" s="13"/>
      <c r="I29" s="13"/>
      <c r="J29" s="13"/>
      <c r="K29" s="14"/>
      <c r="L29" s="13"/>
      <c r="M29" s="13"/>
      <c r="N29" s="13"/>
      <c r="O29" s="13"/>
      <c r="P29" s="13"/>
    </row>
    <row r="30" spans="1:16">
      <c r="A30" s="13"/>
      <c r="B30" s="15"/>
      <c r="C30" s="15"/>
      <c r="D30" s="15"/>
      <c r="E30" s="13"/>
      <c r="F30" s="14"/>
      <c r="G30" s="15"/>
      <c r="H30" s="15"/>
      <c r="I30" s="15"/>
      <c r="J30" s="13"/>
      <c r="K30" s="14"/>
      <c r="L30" s="13"/>
      <c r="M30" s="13"/>
      <c r="N30" s="13"/>
      <c r="O30" s="13"/>
      <c r="P30" s="13"/>
    </row>
    <row r="31" spans="1:16">
      <c r="A31" s="13"/>
      <c r="B31" s="15"/>
      <c r="C31" s="15"/>
      <c r="D31" s="15"/>
      <c r="E31" s="13"/>
      <c r="F31" s="14"/>
      <c r="G31" s="15"/>
      <c r="H31" s="15"/>
      <c r="I31" s="15"/>
      <c r="J31" s="13"/>
      <c r="K31" s="14"/>
      <c r="L31" s="13"/>
      <c r="M31" s="13"/>
      <c r="N31" s="13"/>
      <c r="O31" s="13"/>
      <c r="P31" s="13"/>
    </row>
    <row r="32" spans="1:16">
      <c r="A32" s="13"/>
      <c r="B32" s="15"/>
      <c r="C32" s="15"/>
      <c r="D32" s="15"/>
      <c r="E32" s="13"/>
      <c r="F32" s="14"/>
      <c r="G32" s="15"/>
      <c r="H32" s="15"/>
      <c r="I32" s="15"/>
      <c r="J32" s="13"/>
      <c r="K32" s="14"/>
      <c r="L32" s="13"/>
      <c r="M32" s="13"/>
      <c r="N32" s="13"/>
      <c r="O32" s="13"/>
      <c r="P32" s="13"/>
    </row>
    <row r="33" spans="1:16">
      <c r="A33" s="13"/>
      <c r="B33" s="13"/>
      <c r="C33" s="15"/>
      <c r="D33" s="15"/>
      <c r="E33" s="13"/>
      <c r="F33" s="14"/>
      <c r="G33" s="15"/>
      <c r="H33" s="15"/>
      <c r="I33" s="15"/>
      <c r="J33" s="13"/>
      <c r="K33" s="14"/>
      <c r="L33" s="13"/>
      <c r="M33" s="13"/>
      <c r="N33" s="13"/>
      <c r="O33" s="13"/>
      <c r="P33" s="13"/>
    </row>
    <row r="34" spans="1:16">
      <c r="A34" s="13"/>
      <c r="B34" s="15"/>
      <c r="C34" s="15"/>
      <c r="D34" s="15"/>
      <c r="E34" s="13"/>
      <c r="F34" s="14"/>
      <c r="G34" s="15"/>
      <c r="H34" s="15"/>
      <c r="I34" s="15"/>
      <c r="J34" s="13"/>
      <c r="K34" s="14"/>
      <c r="L34" s="13"/>
      <c r="M34" s="13"/>
      <c r="N34" s="13"/>
      <c r="O34" s="13"/>
      <c r="P34" s="13"/>
    </row>
    <row r="35" spans="1:16">
      <c r="A35" s="13"/>
      <c r="B35" s="15"/>
      <c r="C35" s="15"/>
      <c r="D35" s="15"/>
      <c r="E35" s="13"/>
      <c r="F35" s="14"/>
      <c r="G35" s="15"/>
      <c r="H35" s="15"/>
      <c r="I35" s="15"/>
      <c r="K35" s="10"/>
    </row>
    <row r="80" spans="1:1">
      <c r="A80">
        <f>Costing!D23*0.013*('Prediction Results (Transposed)'!J3 + 'Prediction Results (Transposed)'!J4 + 'Prediction Results (Transposed)'!J5)</f>
        <v>81983.303999999989</v>
      </c>
    </row>
  </sheetData>
  <mergeCells count="5">
    <mergeCell ref="A1:G1"/>
    <mergeCell ref="A7:G7"/>
    <mergeCell ref="A13:G13"/>
    <mergeCell ref="A19:G19"/>
    <mergeCell ref="I1:O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1AFE-7019-4645-B7CF-0ED0B4705AF6}">
  <sheetPr>
    <tabColor rgb="FFC65911"/>
  </sheetPr>
  <dimension ref="A1:AH176"/>
  <sheetViews>
    <sheetView showGridLines="0" tabSelected="1" workbookViewId="0">
      <pane xSplit="2" ySplit="2" topLeftCell="AA81" activePane="bottomRight" state="frozen"/>
      <selection pane="topRight"/>
      <selection pane="bottomLeft"/>
      <selection pane="bottomRight" activeCell="AB100" sqref="AB100"/>
    </sheetView>
  </sheetViews>
  <sheetFormatPr defaultRowHeight="15" outlineLevelCol="1"/>
  <cols>
    <col min="1" max="1" width="39.7109375" customWidth="1" outlineLevel="1"/>
    <col min="2" max="2" width="13.7109375" customWidth="1" outlineLevel="1"/>
    <col min="3" max="3" width="8.42578125" customWidth="1"/>
    <col min="4" max="4" width="28.140625" customWidth="1"/>
    <col min="5" max="5" width="22.140625" customWidth="1"/>
    <col min="6" max="6" width="20.7109375" customWidth="1"/>
    <col min="7" max="7" width="22.7109375" customWidth="1"/>
    <col min="8" max="8" width="23" customWidth="1"/>
    <col min="9" max="9" width="18.85546875" customWidth="1"/>
    <col min="10" max="10" width="22" customWidth="1"/>
    <col min="11" max="11" width="14.5703125" customWidth="1"/>
    <col min="12" max="13" width="20.7109375" customWidth="1"/>
    <col min="14" max="14" width="21.28515625" customWidth="1"/>
    <col min="15" max="15" width="21.42578125" customWidth="1"/>
    <col min="16" max="16" width="23" customWidth="1"/>
    <col min="17" max="17" width="18.85546875" customWidth="1"/>
    <col min="18" max="18" width="22" customWidth="1"/>
    <col min="19" max="19" width="14.5703125" customWidth="1"/>
    <col min="20" max="20" width="20.7109375" customWidth="1"/>
    <col min="21" max="21" width="22" customWidth="1"/>
    <col min="22" max="22" width="23.42578125" customWidth="1"/>
    <col min="23" max="23" width="22.7109375" customWidth="1"/>
    <col min="24" max="24" width="23" customWidth="1"/>
    <col min="25" max="25" width="18.85546875" customWidth="1"/>
    <col min="26" max="26" width="22" customWidth="1"/>
    <col min="27" max="27" width="14.5703125" customWidth="1"/>
    <col min="28" max="28" width="20.7109375" customWidth="1"/>
    <col min="29" max="29" width="22.28515625" customWidth="1"/>
    <col min="30" max="30" width="23.140625" customWidth="1"/>
    <col min="31" max="31" width="22.5703125" customWidth="1"/>
    <col min="32" max="32" width="23" customWidth="1"/>
    <col min="33" max="33" width="18.85546875" customWidth="1"/>
    <col min="34" max="34" width="22" customWidth="1"/>
  </cols>
  <sheetData>
    <row r="1" spans="1:34">
      <c r="C1" s="266" t="s">
        <v>199</v>
      </c>
      <c r="D1" s="266"/>
      <c r="E1" s="266"/>
      <c r="F1" s="266"/>
      <c r="G1" s="266"/>
      <c r="H1" s="266"/>
      <c r="I1" s="280"/>
      <c r="J1" s="166"/>
      <c r="K1" s="266" t="s">
        <v>200</v>
      </c>
      <c r="L1" s="266"/>
      <c r="M1" s="266"/>
      <c r="N1" s="266"/>
      <c r="O1" s="266"/>
      <c r="P1" s="266"/>
      <c r="Q1" s="266"/>
      <c r="R1" s="166"/>
      <c r="S1" s="266" t="s">
        <v>201</v>
      </c>
      <c r="T1" s="266"/>
      <c r="U1" s="266"/>
      <c r="V1" s="266"/>
      <c r="W1" s="266"/>
      <c r="X1" s="266"/>
      <c r="Y1" s="266"/>
      <c r="Z1" s="166"/>
      <c r="AA1" s="266" t="s">
        <v>202</v>
      </c>
      <c r="AB1" s="266"/>
      <c r="AC1" s="266"/>
      <c r="AD1" s="266"/>
      <c r="AE1" s="266"/>
      <c r="AF1" s="266"/>
      <c r="AG1" s="266"/>
      <c r="AH1" s="166"/>
    </row>
    <row r="2" spans="1:34">
      <c r="C2" s="197"/>
      <c r="D2" s="198" t="s">
        <v>225</v>
      </c>
      <c r="E2" s="195" t="s">
        <v>2</v>
      </c>
      <c r="F2" s="198" t="s">
        <v>226</v>
      </c>
      <c r="G2" s="195" t="s">
        <v>4</v>
      </c>
      <c r="H2" s="206" t="s">
        <v>227</v>
      </c>
      <c r="I2" s="195" t="s">
        <v>228</v>
      </c>
      <c r="J2" s="11"/>
      <c r="K2" s="197"/>
      <c r="L2" s="198" t="s">
        <v>225</v>
      </c>
      <c r="M2" s="195" t="s">
        <v>2</v>
      </c>
      <c r="N2" s="198" t="s">
        <v>226</v>
      </c>
      <c r="O2" s="195" t="s">
        <v>4</v>
      </c>
      <c r="P2" s="198" t="s">
        <v>227</v>
      </c>
      <c r="Q2" s="195" t="s">
        <v>228</v>
      </c>
      <c r="R2" s="11"/>
      <c r="S2" s="186"/>
      <c r="T2" s="164" t="s">
        <v>225</v>
      </c>
      <c r="U2" s="185" t="s">
        <v>2</v>
      </c>
      <c r="V2" s="164" t="s">
        <v>226</v>
      </c>
      <c r="W2" s="185" t="s">
        <v>4</v>
      </c>
      <c r="X2" s="164" t="s">
        <v>227</v>
      </c>
      <c r="Y2" s="185" t="s">
        <v>228</v>
      </c>
      <c r="Z2" s="11"/>
      <c r="AA2" s="197"/>
      <c r="AB2" s="164" t="s">
        <v>225</v>
      </c>
      <c r="AC2" s="185" t="s">
        <v>2</v>
      </c>
      <c r="AD2" s="164" t="s">
        <v>226</v>
      </c>
      <c r="AE2" s="185" t="s">
        <v>4</v>
      </c>
      <c r="AF2" s="164" t="s">
        <v>227</v>
      </c>
      <c r="AG2" s="185" t="s">
        <v>228</v>
      </c>
      <c r="AH2" s="11"/>
    </row>
    <row r="3" spans="1:34">
      <c r="A3" s="266" t="s">
        <v>229</v>
      </c>
      <c r="B3" s="267"/>
      <c r="C3" s="208" t="s">
        <v>88</v>
      </c>
      <c r="D3" s="268" t="s">
        <v>230</v>
      </c>
      <c r="E3" s="269"/>
      <c r="F3" s="269"/>
      <c r="G3" s="269"/>
      <c r="H3" s="269"/>
      <c r="I3" s="270"/>
      <c r="J3" s="11"/>
      <c r="K3" s="211" t="s">
        <v>88</v>
      </c>
      <c r="L3" s="270" t="s">
        <v>230</v>
      </c>
      <c r="M3" s="271"/>
      <c r="N3" s="271"/>
      <c r="O3" s="271"/>
      <c r="P3" s="271"/>
      <c r="Q3" s="271"/>
      <c r="R3" s="11"/>
      <c r="S3" s="211" t="s">
        <v>88</v>
      </c>
      <c r="T3" s="271" t="s">
        <v>230</v>
      </c>
      <c r="U3" s="271"/>
      <c r="V3" s="271"/>
      <c r="W3" s="271"/>
      <c r="X3" s="271"/>
      <c r="Y3" s="271"/>
      <c r="Z3" s="11"/>
      <c r="AA3" s="211" t="s">
        <v>88</v>
      </c>
      <c r="AB3" s="270" t="s">
        <v>230</v>
      </c>
      <c r="AC3" s="271"/>
      <c r="AD3" s="271"/>
      <c r="AE3" s="271"/>
      <c r="AF3" s="271"/>
      <c r="AG3" s="271"/>
      <c r="AH3" s="11"/>
    </row>
    <row r="4" spans="1:34">
      <c r="A4" s="191" t="s">
        <v>231</v>
      </c>
      <c r="B4" s="190" t="s">
        <v>232</v>
      </c>
      <c r="C4" s="197">
        <v>2020</v>
      </c>
      <c r="D4" s="207">
        <f>IF($B$4 = "lower", 'Prediction Results (Transposed)'!B3, IF($B$4 = "upper", 'Prediction Results (Transposed)'!B4, IF($B$4 = "average", 'Prediction Results (Transposed)'!B5, "Invalid")))</f>
        <v>26198434.489999998</v>
      </c>
      <c r="E4" s="207">
        <f>IF($B$4 = "lower", 'Prediction Results (Transposed)'!C3, IF($B$4 = "upper", 'Prediction Results (Transposed)'!C4, IF($B$4 = "average", 'Prediction Results (Transposed)'!C5, "Invalid")))</f>
        <v>37307317.75</v>
      </c>
      <c r="F4" s="207">
        <f>IF($B$4 = "lower", 'Prediction Results (Transposed)'!D3, IF($B$4 = "upper", 'Prediction Results (Transposed)'!D4, IF($B$4 = "average", 'Prediction Results (Transposed)'!D5, "Invalid")))</f>
        <v>2251689.0299999998</v>
      </c>
      <c r="G4" s="207">
        <f>IF($B$4 = "lower", 'Prediction Results (Transposed)'!E3, IF($B$4 = "upper", 'Prediction Results (Transposed)'!E4, IF($B$4 = "average", 'Prediction Results (Transposed)'!E5, "Invalid")))</f>
        <v>537374.42999999993</v>
      </c>
      <c r="H4" s="207">
        <f>IF($B$4 = "lower", 'Prediction Results (Transposed)'!F3, IF($B$4 = "upper", 'Prediction Results (Transposed)'!F4, IF($B$4 = "average", 'Prediction Results (Transposed)'!F5, "Invalid")))</f>
        <v>561097.07000000007</v>
      </c>
      <c r="I4" s="231">
        <f>IF($B$4 = "lower", 'Prediction Results (Transposed)'!G3, IF($B$4 = "upper", 'Prediction Results (Transposed)'!G4, IF($B$4 = "average", 'Prediction Results (Transposed)'!G5, "Invalid")))</f>
        <v>984176.33000000007</v>
      </c>
      <c r="K4" s="197">
        <v>2020</v>
      </c>
      <c r="L4" s="63">
        <f>IF($B$4 = "lower", 'Prediction Results (Transposed)'!B3, IF($B$4 = "upper", 'Prediction Results (Transposed)'!B4, IF($B$4 = "average", 'Prediction Results (Transposed)'!B5, "Invalid")))</f>
        <v>26198434.489999998</v>
      </c>
      <c r="M4" s="63">
        <f>IF($B$4 = "lower", 'Prediction Results (Transposed)'!C3, IF($B$4 = "upper", 'Prediction Results (Transposed)'!C4, IF($B$4 = "average", 'Prediction Results (Transposed)'!C5, "Invalid")))</f>
        <v>37307317.75</v>
      </c>
      <c r="N4" s="63">
        <f>IF($B$4 = "lower", 'Prediction Results (Transposed)'!D3, IF($B$4 = "upper", 'Prediction Results (Transposed)'!D4, IF($B$4 = "average", 'Prediction Results (Transposed)'!D5, "Invalid")))</f>
        <v>2251689.0299999998</v>
      </c>
      <c r="O4" s="63">
        <f>IF($B$4 = "lower", 'Prediction Results (Transposed)'!E3, IF($B$4 = "upper", 'Prediction Results (Transposed)'!E4, IF($B$4 = "average", 'Prediction Results (Transposed)'!E5, "Invalid")))</f>
        <v>537374.42999999993</v>
      </c>
      <c r="P4" s="63">
        <f>IF($B$4 = "lower", 'Prediction Results (Transposed)'!F3, IF($B$4 = "upper", 'Prediction Results (Transposed)'!F4, IF($B$4 = "average", 'Prediction Results (Transposed)'!F5, "Invalid")))</f>
        <v>561097.07000000007</v>
      </c>
      <c r="Q4" s="187">
        <f>IF($B$4 = "lower", 'Prediction Results (Transposed)'!G3, IF($B$4 = "upper", 'Prediction Results (Transposed)'!G4, IF($B$4 = "average", 'Prediction Results (Transposed)'!G5, "Invalid")))</f>
        <v>984176.33000000007</v>
      </c>
      <c r="S4" s="197">
        <v>2020</v>
      </c>
      <c r="T4" s="63">
        <f>IF($B$4 = "lower", 'Prediction Results (Transposed)'!B3, IF($B$4 = "upper", 'Prediction Results (Transposed)'!B4, IF($B$4 = "average", 'Prediction Results (Transposed)'!B5, "Invalid")))</f>
        <v>26198434.489999998</v>
      </c>
      <c r="U4" s="63">
        <f>IF($B$4 = "lower", 'Prediction Results (Transposed)'!C3, IF($B$4 = "upper", 'Prediction Results (Transposed)'!C4, IF($B$4 = "average", 'Prediction Results (Transposed)'!C5, "Invalid")))</f>
        <v>37307317.75</v>
      </c>
      <c r="V4" s="63">
        <f>IF($B$4 = "lower", 'Prediction Results (Transposed)'!D3, IF($B$4 = "upper", 'Prediction Results (Transposed)'!D4, IF($B$4 = "average", 'Prediction Results (Transposed)'!D5, "Invalid")))</f>
        <v>2251689.0299999998</v>
      </c>
      <c r="W4" s="63">
        <f>IF($B$4 = "lower", 'Prediction Results (Transposed)'!E3, IF($B$4 = "upper", 'Prediction Results (Transposed)'!E4, IF($B$4 = "average", 'Prediction Results (Transposed)'!E5, "Invalid")))</f>
        <v>537374.42999999993</v>
      </c>
      <c r="X4" s="63">
        <f>IF($B$4 = "lower", 'Prediction Results (Transposed)'!F3, IF($B$4 = "upper", 'Prediction Results (Transposed)'!F4, IF($B$4 = "average", 'Prediction Results (Transposed)'!F5, "Invalid")))</f>
        <v>561097.07000000007</v>
      </c>
      <c r="Y4" s="187">
        <f>IF($B$4 = "lower", 'Prediction Results (Transposed)'!G3, IF($B$4 = "upper", 'Prediction Results (Transposed)'!G4, IF($B$4 = "average", 'Prediction Results (Transposed)'!G5, "Invalid")))</f>
        <v>984176.33000000007</v>
      </c>
      <c r="AA4" s="197">
        <v>2020</v>
      </c>
      <c r="AB4" s="63">
        <f>IF($B$4 = "lower", 'Prediction Results (Transposed)'!B3, IF($B$4 = "upper", 'Prediction Results (Transposed)'!B4, IF($B$4 = "average", 'Prediction Results (Transposed)'!B5, "Invalid")))</f>
        <v>26198434.489999998</v>
      </c>
      <c r="AC4" s="63">
        <f>IF($B$4 = "lower", 'Prediction Results (Transposed)'!C3, IF($B$4 = "upper", 'Prediction Results (Transposed)'!C4, IF($B$4 = "average", 'Prediction Results (Transposed)'!C5, "Invalid")))</f>
        <v>37307317.75</v>
      </c>
      <c r="AD4" s="63">
        <f>IF($B$4 = "lower", 'Prediction Results (Transposed)'!D3, IF($B$4 = "upper", 'Prediction Results (Transposed)'!D4, IF($B$4 = "average", 'Prediction Results (Transposed)'!D5, "Invalid")))</f>
        <v>2251689.0299999998</v>
      </c>
      <c r="AE4" s="63">
        <f>IF($B$4 = "lower", 'Prediction Results (Transposed)'!E3, IF($B$4 = "upper", 'Prediction Results (Transposed)'!E4, IF($B$4 = "average", 'Prediction Results (Transposed)'!E5, "Invalid")))</f>
        <v>537374.42999999993</v>
      </c>
      <c r="AF4" s="63">
        <f>IF($B$4 = "lower", 'Prediction Results (Transposed)'!F3, IF($B$4 = "upper", 'Prediction Results (Transposed)'!F4, IF($B$4 = "average", 'Prediction Results (Transposed)'!F5, "Invalid")))</f>
        <v>561097.07000000007</v>
      </c>
      <c r="AG4" s="187">
        <f>IF($B$4 = "lower", 'Prediction Results (Transposed)'!G3, IF($B$4 = "upper", 'Prediction Results (Transposed)'!G4, IF($B$4 = "average", 'Prediction Results (Transposed)'!G5, "Invalid")))</f>
        <v>984176.33000000007</v>
      </c>
    </row>
    <row r="5" spans="1:34">
      <c r="A5" s="191" t="s">
        <v>233</v>
      </c>
      <c r="B5" s="68">
        <v>1.1000000000000001</v>
      </c>
      <c r="C5" s="193">
        <v>2021</v>
      </c>
      <c r="D5" s="63">
        <f>D$4*Model!$T22^2*(1+$B$15)^($C5-$C$4)</f>
        <v>27777147.270689286</v>
      </c>
      <c r="E5" s="63">
        <f>E$4*Model!$T22^2*(1+$B$15)^($C5-$C$4)</f>
        <v>39555449.765966177</v>
      </c>
      <c r="F5" s="63">
        <f>F$4*Model!$T22^2*(1+$B$15)^($C5-$C$4)</f>
        <v>2387375.3913799417</v>
      </c>
      <c r="G5" s="63">
        <f>G$4*Model!$T22^2*(1+$B$15)^($C5-$C$4)</f>
        <v>569756.51302028284</v>
      </c>
      <c r="H5" s="63">
        <f>H$4*Model!$T22^2*(1+$B$15)^($C5-$C$4)</f>
        <v>594908.67488633131</v>
      </c>
      <c r="I5" s="232">
        <f>I$4*Model!$T22^2*(1+$B$15)^($C5-$C$4)</f>
        <v>1043482.6122595733</v>
      </c>
      <c r="K5" s="193">
        <v>2021</v>
      </c>
      <c r="L5" s="63">
        <f>L$4*Model!$U22^2*(1+$B$15)^($K5-$K$4)</f>
        <v>27857220.576656103</v>
      </c>
      <c r="M5" s="63">
        <f>M$4*Model!$U22^2*(1+$B$15)^($K5-$K$4)</f>
        <v>39669476.436916187</v>
      </c>
      <c r="N5" s="63">
        <f>N$4*Model!$U22^2*(1+$B$15)^($K5-$K$4)</f>
        <v>2394257.4890377279</v>
      </c>
      <c r="O5" s="63">
        <f>O$4*Model!$U22^2*(1+$B$15)^($K5-$K$4)</f>
        <v>571398.95265416848</v>
      </c>
      <c r="P5" s="63">
        <f>P$4*Model!$U22^2*(1+$B$15)^($K5-$K$4)</f>
        <v>596623.62076908408</v>
      </c>
      <c r="Q5" s="63">
        <f>Q$4*Model!$U22^2*(1+$B$15)^($K5-$K$4)</f>
        <v>1046490.6642264748</v>
      </c>
      <c r="S5" s="193">
        <v>2021</v>
      </c>
      <c r="T5" s="63">
        <f>T$4*Model!$V22^2*(1+$B$15)^($S5-$S$4)</f>
        <v>28040181.102283847</v>
      </c>
      <c r="U5" s="63">
        <f>U$4*Model!$V22^2*(1+$B$15)^($S5-$S$4)</f>
        <v>39930017.442444853</v>
      </c>
      <c r="V5" s="63">
        <f>V$4*Model!$V22^2*(1+$B$15)^($S5-$S$4)</f>
        <v>2409982.482400835</v>
      </c>
      <c r="W5" s="63">
        <f>W$4*Model!$V22^2*(1+$B$15)^($S5-$S$4)</f>
        <v>575151.78407656658</v>
      </c>
      <c r="X5" s="63">
        <f>X$4*Model!$V22^2*(1+$B$15)^($S5-$S$4)</f>
        <v>600542.12265111727</v>
      </c>
      <c r="Y5" s="63">
        <f>Y$4*Model!$V22^2*(1+$B$15)^($S5-$S$4)</f>
        <v>1053363.8008146905</v>
      </c>
      <c r="AA5" s="193">
        <v>2021</v>
      </c>
      <c r="AB5" s="63">
        <f>AB$4*Model!$W22^2*(1+$B$15)^($AA5-$AA$4)</f>
        <v>28155423.403739434</v>
      </c>
      <c r="AC5" s="63">
        <f>AC$4*Model!$W22^2*(1+$B$15)^($AA5-$AA$4)</f>
        <v>40094125.765798524</v>
      </c>
      <c r="AD5" s="63">
        <f>AD$4*Model!$W22^2*(1+$B$15)^($AA5-$AA$4)</f>
        <v>2419887.2660656199</v>
      </c>
      <c r="AE5" s="63">
        <f>AE$4*Model!$W22^2*(1+$B$15)^($AA5-$AA$4)</f>
        <v>577515.59959692601</v>
      </c>
      <c r="AF5" s="63">
        <f>AF$4*Model!$W22^2*(1+$B$15)^($AA5-$AA$4)</f>
        <v>603010.28988879966</v>
      </c>
      <c r="AG5" s="63">
        <f>AG$4*Model!$W22^2*(1+$B$15)^($AA5-$AA$4)</f>
        <v>1057693.0192399595</v>
      </c>
    </row>
    <row r="6" spans="1:34">
      <c r="A6" s="191" t="s">
        <v>234</v>
      </c>
      <c r="B6" s="68">
        <v>1.25</v>
      </c>
      <c r="C6" s="193">
        <v>2022</v>
      </c>
      <c r="D6" s="63">
        <f>D$4*Model!$T23^2*(1+$B$15)^($C6-$C$4)</f>
        <v>29444157.766250841</v>
      </c>
      <c r="E6" s="63">
        <f>E$4*Model!$T23^2*(1+$B$15)^($C6-$C$4)</f>
        <v>41929320.245678939</v>
      </c>
      <c r="F6" s="63">
        <f>F$4*Model!$T23^2*(1+$B$15)^($C6-$C$4)</f>
        <v>2530650.7175137824</v>
      </c>
      <c r="G6" s="63">
        <f>G$4*Model!$T23^2*(1+$B$15)^($C6-$C$4)</f>
        <v>603949.73228299641</v>
      </c>
      <c r="H6" s="63">
        <f>H$4*Model!$T23^2*(1+$B$15)^($C6-$C$4)</f>
        <v>630611.36945290409</v>
      </c>
      <c r="I6" s="232">
        <f>I$4*Model!$T23^2*(1+$B$15)^($C6-$C$4)</f>
        <v>1106105.9064957036</v>
      </c>
      <c r="K6" s="193">
        <v>2022</v>
      </c>
      <c r="L6" s="63">
        <f>L$4*Model!$U23^2*(1+$B$15)^($K6-$K$4)</f>
        <v>29612224.406485595</v>
      </c>
      <c r="M6" s="63">
        <f>M$4*Model!$U23^2*(1+$B$15)^($K6-$K$4)</f>
        <v>42168651.933715731</v>
      </c>
      <c r="N6" s="63">
        <f>N$4*Model!$U23^2*(1+$B$15)^($K6-$K$4)</f>
        <v>2545095.6191841476</v>
      </c>
      <c r="O6" s="63">
        <f>O$4*Model!$U23^2*(1+$B$15)^($K6-$K$4)</f>
        <v>607397.06479565625</v>
      </c>
      <c r="P6" s="63">
        <f>P$4*Model!$U23^2*(1+$B$15)^($K6-$K$4)</f>
        <v>634210.88603609765</v>
      </c>
      <c r="Q6" s="63">
        <f>Q$4*Model!$U23^2*(1+$B$15)^($K6-$K$4)</f>
        <v>1112419.536008368</v>
      </c>
      <c r="S6" s="193">
        <v>2022</v>
      </c>
      <c r="T6" s="63">
        <f>T$4*Model!$V23^2*(1+$B$15)^($S6-$S$4)</f>
        <v>29997125.678371646</v>
      </c>
      <c r="U6" s="63">
        <f>U$4*Model!$V23^2*(1+$B$15)^($S6-$S$4)</f>
        <v>42716762.320163175</v>
      </c>
      <c r="V6" s="63">
        <f>V$4*Model!$V23^2*(1+$B$15)^($S6-$S$4)</f>
        <v>2578176.9077576948</v>
      </c>
      <c r="W6" s="63">
        <f>W$4*Model!$V23^2*(1+$B$15)^($S6-$S$4)</f>
        <v>615292.0442328814</v>
      </c>
      <c r="X6" s="63">
        <f>X$4*Model!$V23^2*(1+$B$15)^($S6-$S$4)</f>
        <v>642454.39295163378</v>
      </c>
      <c r="Y6" s="63">
        <f>Y$4*Model!$V23^2*(1+$B$15)^($S6-$S$4)</f>
        <v>1126878.8244563758</v>
      </c>
      <c r="AA6" s="193">
        <v>2022</v>
      </c>
      <c r="AB6" s="63">
        <f>AB$4*Model!$W23^2*(1+$B$15)^($AA6-$AA$4)</f>
        <v>30240192.203503668</v>
      </c>
      <c r="AC6" s="63">
        <f>AC$4*Model!$W23^2*(1+$B$15)^($AA6-$AA$4)</f>
        <v>43062895.982880697</v>
      </c>
      <c r="AD6" s="63">
        <f>AD$4*Model!$W23^2*(1+$B$15)^($AA6-$AA$4)</f>
        <v>2599067.8594063097</v>
      </c>
      <c r="AE6" s="63">
        <f>AE$4*Model!$W23^2*(1+$B$15)^($AA6-$AA$4)</f>
        <v>620277.75188822846</v>
      </c>
      <c r="AF6" s="63">
        <f>AF$4*Model!$W23^2*(1+$B$15)^($AA6-$AA$4)</f>
        <v>647660.19695182005</v>
      </c>
      <c r="AG6" s="63">
        <f>AG$4*Model!$W23^2*(1+$B$15)^($AA6-$AA$4)</f>
        <v>1136009.9166497509</v>
      </c>
    </row>
    <row r="7" spans="1:34">
      <c r="A7" s="191" t="s">
        <v>235</v>
      </c>
      <c r="B7" s="68">
        <v>1.5</v>
      </c>
      <c r="C7" s="193">
        <v>2023</v>
      </c>
      <c r="D7" s="63">
        <f>D$4*Model!$T24^2*(1+$B$15)^($C7-$C$4)</f>
        <v>31204121.62184763</v>
      </c>
      <c r="E7" s="63">
        <f>E$4*Model!$T24^2*(1+$B$15)^($C7-$C$4)</f>
        <v>44435558.960603945</v>
      </c>
      <c r="F7" s="63">
        <f>F$4*Model!$T24^2*(1+$B$15)^($C7-$C$4)</f>
        <v>2681915.1493009729</v>
      </c>
      <c r="G7" s="63">
        <f>G$4*Model!$T24^2*(1+$B$15)^($C7-$C$4)</f>
        <v>640049.58298525587</v>
      </c>
      <c r="H7" s="63">
        <f>H$4*Model!$T24^2*(1+$B$15)^($C7-$C$4)</f>
        <v>668304.8645759885</v>
      </c>
      <c r="I7" s="232">
        <f>I$4*Model!$T24^2*(1+$B$15)^($C7-$C$4)</f>
        <v>1172221.1077301532</v>
      </c>
      <c r="K7" s="193">
        <v>2023</v>
      </c>
      <c r="L7" s="63">
        <f>L$4*Model!$U24^2*(1+$B$15)^($K7-$K$4)</f>
        <v>31468655.043164577</v>
      </c>
      <c r="M7" s="63">
        <f>M$4*Model!$U24^2*(1+$B$15)^($K7-$K$4)</f>
        <v>44812262.095607415</v>
      </c>
      <c r="N7" s="63">
        <f>N$4*Model!$U24^2*(1+$B$15)^($K7-$K$4)</f>
        <v>2704651.1262569665</v>
      </c>
      <c r="O7" s="63">
        <f>O$4*Model!$U24^2*(1+$B$15)^($K7-$K$4)</f>
        <v>645475.61317612103</v>
      </c>
      <c r="P7" s="63">
        <f>P$4*Model!$U24^2*(1+$B$15)^($K7-$K$4)</f>
        <v>673970.42935142084</v>
      </c>
      <c r="Q7" s="63">
        <f>Q$4*Model!$U24^2*(1+$B$15)^($K7-$K$4)</f>
        <v>1182158.6302127822</v>
      </c>
      <c r="S7" s="193">
        <v>2023</v>
      </c>
      <c r="T7" s="63">
        <f>T$4*Model!$V24^2*(1+$B$15)^($S7-$S$4)</f>
        <v>32075841.309037246</v>
      </c>
      <c r="U7" s="63">
        <f>U$4*Model!$V24^2*(1+$B$15)^($S7-$S$4)</f>
        <v>45676912.651845574</v>
      </c>
      <c r="V7" s="63">
        <f>V$4*Model!$V24^2*(1+$B$15)^($S7-$S$4)</f>
        <v>2756837.2465594602</v>
      </c>
      <c r="W7" s="63">
        <f>W$4*Model!$V24^2*(1+$B$15)^($S7-$S$4)</f>
        <v>657930.03573528945</v>
      </c>
      <c r="X7" s="63">
        <f>X$4*Model!$V24^2*(1+$B$15)^($S7-$S$4)</f>
        <v>686974.65809094475</v>
      </c>
      <c r="Y7" s="63">
        <f>Y$4*Model!$V24^2*(1+$B$15)^($S7-$S$4)</f>
        <v>1204968.3271433779</v>
      </c>
      <c r="AA7" s="193">
        <v>2023</v>
      </c>
      <c r="AB7" s="63">
        <f>AB$4*Model!$W24^2*(1+$B$15)^($AA7-$AA$4)</f>
        <v>32460243.730129834</v>
      </c>
      <c r="AC7" s="63">
        <f>AC$4*Model!$W24^2*(1+$B$15)^($AA7-$AA$4)</f>
        <v>46224312.660538629</v>
      </c>
      <c r="AD7" s="63">
        <f>AD$4*Model!$W24^2*(1+$B$15)^($AA7-$AA$4)</f>
        <v>2789875.6601719228</v>
      </c>
      <c r="AE7" s="63">
        <f>AE$4*Model!$W24^2*(1+$B$15)^($AA7-$AA$4)</f>
        <v>665814.78289467026</v>
      </c>
      <c r="AF7" s="63">
        <f>AF$4*Model!$W24^2*(1+$B$15)^($AA7-$AA$4)</f>
        <v>695207.48102005094</v>
      </c>
      <c r="AG7" s="63">
        <f>AG$4*Model!$W24^2*(1+$B$15)^($AA7-$AA$4)</f>
        <v>1219408.8756493744</v>
      </c>
    </row>
    <row r="8" spans="1:34">
      <c r="A8" s="191" t="s">
        <v>236</v>
      </c>
      <c r="B8">
        <v>1</v>
      </c>
      <c r="C8" s="193">
        <v>2024</v>
      </c>
      <c r="D8" s="63">
        <f>D$4*Model!$T25^2*(1+$B$15)^($C8-$C$4)</f>
        <v>33061929.018809102</v>
      </c>
      <c r="E8" s="63">
        <f>E$4*Model!$T25^2*(1+$B$15)^($C8-$C$4)</f>
        <v>47081129.668395571</v>
      </c>
      <c r="F8" s="63">
        <f>F$4*Model!$T25^2*(1+$B$15)^($C8-$C$4)</f>
        <v>2841588.9854299119</v>
      </c>
      <c r="G8" s="63">
        <f>G$4*Model!$T25^2*(1+$B$15)^($C8-$C$4)</f>
        <v>678156.37105967395</v>
      </c>
      <c r="H8" s="63">
        <f>H$4*Model!$T25^2*(1+$B$15)^($C8-$C$4)</f>
        <v>708093.89423947083</v>
      </c>
      <c r="I8" s="232">
        <f>I$4*Model!$T25^2*(1+$B$15)^($C8-$C$4)</f>
        <v>1242011.9216234912</v>
      </c>
      <c r="K8" s="193">
        <v>2024</v>
      </c>
      <c r="L8" s="63">
        <f>L$4*Model!$U25^2*(1+$B$15)^($K8-$K$4)</f>
        <v>33431989.164554406</v>
      </c>
      <c r="M8" s="63">
        <f>M$4*Model!$U25^2*(1+$B$15)^($K8-$K$4)</f>
        <v>47608105.868030757</v>
      </c>
      <c r="N8" s="63">
        <f>N$4*Model!$U25^2*(1+$B$15)^($K8-$K$4)</f>
        <v>2873394.7168347011</v>
      </c>
      <c r="O8" s="63">
        <f>O$4*Model!$U25^2*(1+$B$15)^($K8-$K$4)</f>
        <v>685746.93376911769</v>
      </c>
      <c r="P8" s="63">
        <f>P$4*Model!$U25^2*(1+$B$15)^($K8-$K$4)</f>
        <v>716019.54581154173</v>
      </c>
      <c r="Q8" s="63">
        <f>Q$4*Model!$U25^2*(1+$B$15)^($K8-$K$4)</f>
        <v>1255913.68496198</v>
      </c>
      <c r="S8" s="193">
        <v>2024</v>
      </c>
      <c r="T8" s="63">
        <f>T$4*Model!$V25^2*(1+$B$15)^($S8-$S$4)</f>
        <v>34283251.750976987</v>
      </c>
      <c r="U8" s="63">
        <f>U$4*Model!$V25^2*(1+$B$15)^($S8-$S$4)</f>
        <v>48820328.064455368</v>
      </c>
      <c r="V8" s="63">
        <f>V$4*Model!$V25^2*(1+$B$15)^($S8-$S$4)</f>
        <v>2946558.578142093</v>
      </c>
      <c r="W8" s="63">
        <f>W$4*Model!$V25^2*(1+$B$15)^($S8-$S$4)</f>
        <v>703207.77660435543</v>
      </c>
      <c r="X8" s="63">
        <f>X$4*Model!$V25^2*(1+$B$15)^($S8-$S$4)</f>
        <v>734251.20554008964</v>
      </c>
      <c r="Y8" s="63">
        <f>Y$4*Model!$V25^2*(1+$B$15)^($S8-$S$4)</f>
        <v>1287892.4082895692</v>
      </c>
      <c r="AA8" s="193">
        <v>2024</v>
      </c>
      <c r="AB8" s="63">
        <f>AB$4*Model!$W25^2*(1+$B$15)^($AA8-$AA$4)</f>
        <v>34823489.101877503</v>
      </c>
      <c r="AC8" s="63">
        <f>AC$4*Model!$W25^2*(1+$B$15)^($AA8-$AA$4)</f>
        <v>49589641.456755839</v>
      </c>
      <c r="AD8" s="63">
        <f>AD$4*Model!$W25^2*(1+$B$15)^($AA8-$AA$4)</f>
        <v>2992990.6089217667</v>
      </c>
      <c r="AE8" s="63">
        <f>AE$4*Model!$W25^2*(1+$B$15)^($AA8-$AA$4)</f>
        <v>714288.96310104046</v>
      </c>
      <c r="AF8" s="63">
        <f>AF$4*Model!$W25^2*(1+$B$15)^($AA8-$AA$4)</f>
        <v>745821.57608305255</v>
      </c>
      <c r="AG8" s="63">
        <f>AG$4*Model!$W25^2*(1+$B$15)^($AA8-$AA$4)</f>
        <v>1308187.0871010509</v>
      </c>
    </row>
    <row r="9" spans="1:34">
      <c r="A9" s="191" t="s">
        <v>237</v>
      </c>
      <c r="B9">
        <v>3</v>
      </c>
      <c r="C9" s="193">
        <v>2025</v>
      </c>
      <c r="D9" s="63">
        <f>D$4*Model!$T26^2*(1+$B$15)^($C9-$C$4)</f>
        <v>35022716.076385535</v>
      </c>
      <c r="E9" s="63">
        <f>E$4*Model!$T26^2*(1+$B$15)^($C9-$C$4)</f>
        <v>49873346.349320292</v>
      </c>
      <c r="F9" s="63">
        <f>F$4*Model!$T26^2*(1+$B$15)^($C9-$C$4)</f>
        <v>3010113.662329827</v>
      </c>
      <c r="G9" s="63">
        <f>G$4*Model!$T26^2*(1+$B$15)^($C9-$C$4)</f>
        <v>718375.44704372564</v>
      </c>
      <c r="H9" s="63">
        <f>H$4*Model!$T26^2*(1+$B$15)^($C9-$C$4)</f>
        <v>750088.45972848905</v>
      </c>
      <c r="I9" s="232">
        <f>I$4*Model!$T26^2*(1+$B$15)^($C9-$C$4)</f>
        <v>1315671.292795981</v>
      </c>
      <c r="K9" s="193">
        <v>2025</v>
      </c>
      <c r="L9" s="63">
        <f>L$4*Model!$U26^2*(1+$B$15)^($K9-$K$4)</f>
        <v>35507984.268973611</v>
      </c>
      <c r="M9" s="63">
        <f>M$4*Model!$U26^2*(1+$B$15)^($K9-$K$4)</f>
        <v>50564382.092763752</v>
      </c>
      <c r="N9" s="63">
        <f>N$4*Model!$U26^2*(1+$B$15)^($K9-$K$4)</f>
        <v>3051821.2333022668</v>
      </c>
      <c r="O9" s="63">
        <f>O$4*Model!$U26^2*(1+$B$15)^($K9-$K$4)</f>
        <v>728329.12265318574</v>
      </c>
      <c r="P9" s="63">
        <f>P$4*Model!$U26^2*(1+$B$15)^($K9-$K$4)</f>
        <v>760481.54490040254</v>
      </c>
      <c r="Q9" s="63">
        <f>Q$4*Model!$U26^2*(1+$B$15)^($K9-$K$4)</f>
        <v>1333900.9877431872</v>
      </c>
      <c r="S9" s="193">
        <v>2025</v>
      </c>
      <c r="T9" s="63">
        <f>T$4*Model!$V26^2*(1+$B$15)^($S9-$S$4)</f>
        <v>36626649.223694183</v>
      </c>
      <c r="U9" s="63">
        <f>U$4*Model!$V26^2*(1+$B$15)^($S9-$S$4)</f>
        <v>52157392.886499524</v>
      </c>
      <c r="V9" s="63">
        <f>V$4*Model!$V26^2*(1+$B$15)^($S9-$S$4)</f>
        <v>3147967.6502857408</v>
      </c>
      <c r="W9" s="63">
        <f>W$4*Model!$V26^2*(1+$B$15)^($S9-$S$4)</f>
        <v>751274.84265921882</v>
      </c>
      <c r="X9" s="63">
        <f>X$4*Model!$V26^2*(1+$B$15)^($S9-$S$4)</f>
        <v>784440.21421115776</v>
      </c>
      <c r="Y9" s="63">
        <f>Y$4*Model!$V26^2*(1+$B$15)^($S9-$S$4)</f>
        <v>1375925.0090661694</v>
      </c>
      <c r="AA9" s="193">
        <v>2025</v>
      </c>
      <c r="AB9" s="63">
        <f>AB$4*Model!$W26^2*(1+$B$15)^($AA9-$AA$4)</f>
        <v>37338268.734376386</v>
      </c>
      <c r="AC9" s="63">
        <f>AC$4*Model!$W26^2*(1+$B$15)^($AA9-$AA$4)</f>
        <v>53170759.361212127</v>
      </c>
      <c r="AD9" s="63">
        <f>AD$4*Model!$W26^2*(1+$B$15)^($AA9-$AA$4)</f>
        <v>3209129.5432358212</v>
      </c>
      <c r="AE9" s="63">
        <f>AE$4*Model!$W26^2*(1+$B$15)^($AA9-$AA$4)</f>
        <v>765871.36861101538</v>
      </c>
      <c r="AF9" s="63">
        <f>AF$4*Model!$W26^2*(1+$B$15)^($AA9-$AA$4)</f>
        <v>799681.110477346</v>
      </c>
      <c r="AG9" s="63">
        <f>AG$4*Model!$W26^2*(1+$B$15)^($AA9-$AA$4)</f>
        <v>1402657.8689493404</v>
      </c>
    </row>
    <row r="10" spans="1:34">
      <c r="A10" s="191" t="s">
        <v>238</v>
      </c>
      <c r="B10">
        <v>12</v>
      </c>
      <c r="C10" s="193">
        <v>2026</v>
      </c>
      <c r="D10" s="63">
        <f>D$4*Model!$T27^2*(1+$B$15)^($C10-$C$4)</f>
        <v>37091876.792304531</v>
      </c>
      <c r="E10" s="63">
        <f>E$4*Model!$T27^2*(1+$B$15)^($C10-$C$4)</f>
        <v>52819890.20994956</v>
      </c>
      <c r="F10" s="63">
        <f>F$4*Model!$T27^2*(1+$B$15)^($C10-$C$4)</f>
        <v>3187952.7804313353</v>
      </c>
      <c r="G10" s="63">
        <f>G$4*Model!$T27^2*(1+$B$15)^($C10-$C$4)</f>
        <v>760817.45100086217</v>
      </c>
      <c r="H10" s="63">
        <f>H$4*Model!$T27^2*(1+$B$15)^($C10-$C$4)</f>
        <v>794404.08536270028</v>
      </c>
      <c r="I10" s="232">
        <f>I$4*Model!$T27^2*(1+$B$15)^($C10-$C$4)</f>
        <v>1393401.8533892347</v>
      </c>
      <c r="K10" s="193">
        <v>2026</v>
      </c>
      <c r="L10" s="63">
        <f>L$4*Model!$U27^2*(1+$B$15)^($K10-$K$4)</f>
        <v>37702692.512928538</v>
      </c>
      <c r="M10" s="63">
        <f>M$4*Model!$U27^2*(1+$B$15)^($K10-$K$4)</f>
        <v>53689709.213245854</v>
      </c>
      <c r="N10" s="63">
        <f>N$4*Model!$U27^2*(1+$B$15)^($K10-$K$4)</f>
        <v>3240450.8431688473</v>
      </c>
      <c r="O10" s="63">
        <f>O$4*Model!$U27^2*(1+$B$15)^($K10-$K$4)</f>
        <v>773346.31984722975</v>
      </c>
      <c r="P10" s="63">
        <f>P$4*Model!$U27^2*(1+$B$15)^($K10-$K$4)</f>
        <v>807486.04685482266</v>
      </c>
      <c r="Q10" s="63">
        <f>Q$4*Model!$U27^2*(1+$B$15)^($K10-$K$4)</f>
        <v>1416347.8952399225</v>
      </c>
      <c r="S10" s="193">
        <v>2026</v>
      </c>
      <c r="T10" s="63">
        <f>T$4*Model!$V27^2*(1+$B$15)^($S10-$S$4)</f>
        <v>39113713.075875387</v>
      </c>
      <c r="U10" s="63">
        <f>U$4*Model!$V27^2*(1+$B$15)^($S10-$S$4)</f>
        <v>55699042.729480781</v>
      </c>
      <c r="V10" s="63">
        <f>V$4*Model!$V27^2*(1+$B$15)^($S10-$S$4)</f>
        <v>3361724.4835424577</v>
      </c>
      <c r="W10" s="63">
        <f>W$4*Model!$V27^2*(1+$B$15)^($S10-$S$4)</f>
        <v>802288.75039670663</v>
      </c>
      <c r="X10" s="63">
        <f>X$4*Model!$V27^2*(1+$B$15)^($S10-$S$4)</f>
        <v>837706.15423877456</v>
      </c>
      <c r="Y10" s="63">
        <f>Y$4*Model!$V27^2*(1+$B$15)^($S10-$S$4)</f>
        <v>1469354.6136270701</v>
      </c>
      <c r="AA10" s="193">
        <v>2026</v>
      </c>
      <c r="AB10" s="63">
        <f>AB$4*Model!$W27^2*(1+$B$15)^($AA10-$AA$4)</f>
        <v>40013374.39866627</v>
      </c>
      <c r="AC10" s="63">
        <f>AC$4*Model!$W27^2*(1+$B$15)^($AA10-$AA$4)</f>
        <v>56980186.106561437</v>
      </c>
      <c r="AD10" s="63">
        <f>AD$4*Model!$W27^2*(1+$B$15)^($AA10-$AA$4)</f>
        <v>3439048.0935473521</v>
      </c>
      <c r="AE10" s="63">
        <f>AE$4*Model!$W27^2*(1+$B$15)^($AA10-$AA$4)</f>
        <v>820742.33359505888</v>
      </c>
      <c r="AF10" s="63">
        <f>AF$4*Model!$W27^2*(1+$B$15)^($AA10-$AA$4)</f>
        <v>856974.37930783257</v>
      </c>
      <c r="AG10" s="63">
        <f>AG$4*Model!$W27^2*(1+$B$15)^($AA10-$AA$4)</f>
        <v>1503151.4948584752</v>
      </c>
    </row>
    <row r="11" spans="1:34">
      <c r="A11" s="191" t="s">
        <v>239</v>
      </c>
      <c r="B11" s="68">
        <f>0.4</f>
        <v>0.4</v>
      </c>
      <c r="C11" s="193">
        <v>2027</v>
      </c>
      <c r="D11" s="63">
        <f>D$4*Model!$T28^2*(1+$B$15)^($C11-$C$4)</f>
        <v>39275075.547013715</v>
      </c>
      <c r="E11" s="63">
        <f>E$4*Model!$T28^2*(1+$B$15)^($C11-$C$4)</f>
        <v>55928827.489557981</v>
      </c>
      <c r="F11" s="63">
        <f>F$4*Model!$T28^2*(1+$B$15)^($C11-$C$4)</f>
        <v>3375593.1788744084</v>
      </c>
      <c r="G11" s="63">
        <f>G$4*Model!$T28^2*(1+$B$15)^($C11-$C$4)</f>
        <v>805598.56900378608</v>
      </c>
      <c r="H11" s="63">
        <f>H$4*Model!$T28^2*(1+$B$15)^($C11-$C$4)</f>
        <v>841162.08630212885</v>
      </c>
      <c r="I11" s="232">
        <f>I$4*Model!$T28^2*(1+$B$15)^($C11-$C$4)</f>
        <v>1475416.3928034278</v>
      </c>
      <c r="K11" s="193">
        <v>2027</v>
      </c>
      <c r="L11" s="63">
        <f>L$4*Model!$U28^2*(1+$B$15)^($K11-$K$4)</f>
        <v>40022475.209742397</v>
      </c>
      <c r="M11" s="63">
        <f>M$4*Model!$U28^2*(1+$B$15)^($K11-$K$4)</f>
        <v>56993145.921039261</v>
      </c>
      <c r="N11" s="63">
        <f>N$4*Model!$U28^2*(1+$B$15)^($K11-$K$4)</f>
        <v>3439830.285188308</v>
      </c>
      <c r="O11" s="63">
        <f>O$4*Model!$U28^2*(1+$B$15)^($K11-$K$4)</f>
        <v>820929.00670205092</v>
      </c>
      <c r="P11" s="63">
        <f>P$4*Model!$U28^2*(1+$B$15)^($K11-$K$4)</f>
        <v>857169.29318451427</v>
      </c>
      <c r="Q11" s="63">
        <f>Q$4*Model!$U28^2*(1+$B$15)^($K11-$K$4)</f>
        <v>1503493.3779907802</v>
      </c>
      <c r="S11" s="193">
        <v>2027</v>
      </c>
      <c r="T11" s="63">
        <f>T$4*Model!$V28^2*(1+$B$15)^($S11-$S$4)</f>
        <v>41752529.362491481</v>
      </c>
      <c r="U11" s="63">
        <f>U$4*Model!$V28^2*(1+$B$15)^($S11-$S$4)</f>
        <v>59456792.366247788</v>
      </c>
      <c r="V11" s="63">
        <f>V$4*Model!$V28^2*(1+$B$15)^($S11-$S$4)</f>
        <v>3588524.053838416</v>
      </c>
      <c r="W11" s="63">
        <f>W$4*Model!$V28^2*(1+$B$15)^($S11-$S$4)</f>
        <v>856415.35855095764</v>
      </c>
      <c r="X11" s="63">
        <f>X$4*Model!$V28^2*(1+$B$15)^($S11-$S$4)</f>
        <v>894222.20626675861</v>
      </c>
      <c r="Y11" s="63">
        <f>Y$4*Model!$V28^2*(1+$B$15)^($S11-$S$4)</f>
        <v>1568484.9845466514</v>
      </c>
      <c r="AA11" s="193">
        <v>2027</v>
      </c>
      <c r="AB11" s="63">
        <f>AB$4*Model!$W28^2*(1+$B$15)^($AA11-$AA$4)</f>
        <v>42858072.366971485</v>
      </c>
      <c r="AC11" s="63">
        <f>AC$4*Model!$W28^2*(1+$B$15)^($AA11-$AA$4)</f>
        <v>61031117.128674664</v>
      </c>
      <c r="AD11" s="63">
        <f>AD$4*Model!$W28^2*(1+$B$15)^($AA11-$AA$4)</f>
        <v>3683542.6724635498</v>
      </c>
      <c r="AE11" s="63">
        <f>AE$4*Model!$W28^2*(1+$B$15)^($AA11-$AA$4)</f>
        <v>879091.9250496045</v>
      </c>
      <c r="AF11" s="63">
        <f>AF$4*Model!$W28^2*(1+$B$15)^($AA11-$AA$4)</f>
        <v>917899.84016543697</v>
      </c>
      <c r="AG11" s="63">
        <f>AG$4*Model!$W28^2*(1+$B$15)^($AA11-$AA$4)</f>
        <v>1610016.0637117678</v>
      </c>
    </row>
    <row r="12" spans="1:34">
      <c r="A12" s="191" t="s">
        <v>240</v>
      </c>
      <c r="B12" s="68">
        <f>0.575</f>
        <v>0.57499999999999996</v>
      </c>
      <c r="C12" s="193">
        <v>2028</v>
      </c>
      <c r="D12" s="63">
        <f>D$4*Model!$T29^2*(1+$B$15)^($C12-$C$4)</f>
        <v>41578260.197620973</v>
      </c>
      <c r="E12" s="63">
        <f>E$4*Model!$T29^2*(1+$B$15)^($C12-$C$4)</f>
        <v>59208628.106267557</v>
      </c>
      <c r="F12" s="63">
        <f>F$4*Model!$T29^2*(1+$B$15)^($C12-$C$4)</f>
        <v>3573546.0608993345</v>
      </c>
      <c r="G12" s="63">
        <f>G$4*Model!$T29^2*(1+$B$15)^($C12-$C$4)</f>
        <v>852840.80171342532</v>
      </c>
      <c r="H12" s="63">
        <f>H$4*Model!$T29^2*(1+$B$15)^($C12-$C$4)</f>
        <v>890489.84898268059</v>
      </c>
      <c r="I12" s="232">
        <f>I$4*Model!$T29^2*(1+$B$15)^($C12-$C$4)</f>
        <v>1561938.3495872268</v>
      </c>
      <c r="K12" s="193">
        <v>2028</v>
      </c>
      <c r="L12" s="63">
        <f>L$4*Model!$U29^2*(1+$B$15)^($K12-$K$4)</f>
        <v>42474018.019866787</v>
      </c>
      <c r="M12" s="63">
        <f>M$4*Model!$U29^2*(1+$B$15)^($K12-$K$4)</f>
        <v>60484212.787265532</v>
      </c>
      <c r="N12" s="63">
        <f>N$4*Model!$U29^2*(1+$B$15)^($K12-$K$4)</f>
        <v>3650534.1749279606</v>
      </c>
      <c r="O12" s="63">
        <f>O$4*Model!$U29^2*(1+$B$15)^($K12-$K$4)</f>
        <v>871214.31747945817</v>
      </c>
      <c r="P12" s="63">
        <f>P$4*Model!$U29^2*(1+$B$15)^($K12-$K$4)</f>
        <v>909674.47200599744</v>
      </c>
      <c r="Q12" s="63">
        <f>Q$4*Model!$U29^2*(1+$B$15)^($K12-$K$4)</f>
        <v>1595588.5910321192</v>
      </c>
      <c r="S12" s="193">
        <v>2028</v>
      </c>
      <c r="T12" s="63">
        <f>T$4*Model!$V29^2*(1+$B$15)^($S12-$S$4)</f>
        <v>44551611.375764966</v>
      </c>
      <c r="U12" s="63">
        <f>U$4*Model!$V29^2*(1+$B$15)^($S12-$S$4)</f>
        <v>63442764.967677973</v>
      </c>
      <c r="V12" s="63">
        <f>V$4*Model!$V29^2*(1+$B$15)^($S12-$S$4)</f>
        <v>3829098.0570584913</v>
      </c>
      <c r="W12" s="63">
        <f>W$4*Model!$V29^2*(1+$B$15)^($S12-$S$4)</f>
        <v>913829.28921846475</v>
      </c>
      <c r="X12" s="63">
        <f>X$4*Model!$V29^2*(1+$B$15)^($S12-$S$4)</f>
        <v>954170.70116392279</v>
      </c>
      <c r="Y12" s="63">
        <f>Y$4*Model!$V29^2*(1+$B$15)^($S12-$S$4)</f>
        <v>1673635.9340907556</v>
      </c>
      <c r="AA12" s="193">
        <v>2028</v>
      </c>
      <c r="AB12" s="63">
        <f>AB$4*Model!$W29^2*(1+$B$15)^($AA12-$AA$4)</f>
        <v>45882127.698165335</v>
      </c>
      <c r="AC12" s="63">
        <f>AC$4*Model!$W29^2*(1+$B$15)^($AA12-$AA$4)</f>
        <v>65337458.149833523</v>
      </c>
      <c r="AD12" s="63">
        <f>AD$4*Model!$W29^2*(1+$B$15)^($AA12-$AA$4)</f>
        <v>3943452.5620396342</v>
      </c>
      <c r="AE12" s="63">
        <f>AE$4*Model!$W29^2*(1+$B$15)^($AA12-$AA$4)</f>
        <v>941120.44093321718</v>
      </c>
      <c r="AF12" s="63">
        <f>AF$4*Model!$W29^2*(1+$B$15)^($AA12-$AA$4)</f>
        <v>982666.63325371919</v>
      </c>
      <c r="AG12" s="63">
        <f>AG$4*Model!$W29^2*(1+$B$15)^($AA12-$AA$4)</f>
        <v>1723618.4119248763</v>
      </c>
    </row>
    <row r="13" spans="1:34">
      <c r="A13" s="191" t="s">
        <v>241</v>
      </c>
      <c r="B13" s="68">
        <f>0.75</f>
        <v>0.75</v>
      </c>
      <c r="C13" s="193">
        <v>2029</v>
      </c>
      <c r="D13" s="63">
        <f>D$4*Model!$T30^2*(1+$B$15)^($C13-$C$4)</f>
        <v>44007675.788721621</v>
      </c>
      <c r="E13" s="63">
        <f>E$4*Model!$T30^2*(1+$B$15)^($C13-$C$4)</f>
        <v>62668185.181656599</v>
      </c>
      <c r="F13" s="63">
        <f>F$4*Model!$T30^2*(1+$B$15)^($C13-$C$4)</f>
        <v>3782348.172257565</v>
      </c>
      <c r="G13" s="63">
        <f>G$4*Model!$T30^2*(1+$B$15)^($C13-$C$4)</f>
        <v>902672.24561130931</v>
      </c>
      <c r="H13" s="63">
        <f>H$4*Model!$T30^2*(1+$B$15)^($C13-$C$4)</f>
        <v>942521.12476365152</v>
      </c>
      <c r="I13" s="232">
        <f>I$4*Model!$T30^2*(1+$B$15)^($C13-$C$4)</f>
        <v>1653202.3265018344</v>
      </c>
      <c r="K13" s="193">
        <v>2029</v>
      </c>
      <c r="L13" s="63">
        <f>L$4*Model!$U30^2*(1+$B$15)^($K13-$K$4)</f>
        <v>45064346.865064666</v>
      </c>
      <c r="M13" s="63">
        <f>M$4*Model!$U30^2*(1+$B$15)^($K13-$K$4)</f>
        <v>64172914.924856029</v>
      </c>
      <c r="N13" s="63">
        <f>N$4*Model!$U30^2*(1+$B$15)^($K13-$K$4)</f>
        <v>3873166.3725522482</v>
      </c>
      <c r="O13" s="63">
        <f>O$4*Model!$U30^2*(1+$B$15)^($K13-$K$4)</f>
        <v>924346.36577921768</v>
      </c>
      <c r="P13" s="63">
        <f>P$4*Model!$U30^2*(1+$B$15)^($K13-$K$4)</f>
        <v>965152.05887981574</v>
      </c>
      <c r="Q13" s="63">
        <f>Q$4*Model!$U30^2*(1+$B$15)^($K13-$K$4)</f>
        <v>1692897.4717338674</v>
      </c>
      <c r="S13" s="193">
        <v>2029</v>
      </c>
      <c r="T13" s="63">
        <f>T$4*Model!$V30^2*(1+$B$15)^($S13-$S$4)</f>
        <v>47519921.175141379</v>
      </c>
      <c r="U13" s="63">
        <f>U$4*Model!$V30^2*(1+$B$15)^($S13-$S$4)</f>
        <v>67669722.761970758</v>
      </c>
      <c r="V13" s="63">
        <f>V$4*Model!$V30^2*(1+$B$15)^($S13-$S$4)</f>
        <v>4084216.7594927363</v>
      </c>
      <c r="W13" s="63">
        <f>W$4*Model!$V30^2*(1+$B$15)^($S13-$S$4)</f>
        <v>974714.3694743925</v>
      </c>
      <c r="X13" s="63">
        <f>X$4*Model!$V30^2*(1+$B$15)^($S13-$S$4)</f>
        <v>1017743.5811357439</v>
      </c>
      <c r="Y13" s="63">
        <f>Y$4*Model!$V30^2*(1+$B$15)^($S13-$S$4)</f>
        <v>1785144.1330164738</v>
      </c>
      <c r="AA13" s="193">
        <v>2029</v>
      </c>
      <c r="AB13" s="63">
        <f>AB$4*Model!$W30^2*(1+$B$15)^($AA13-$AA$4)</f>
        <v>49095829.717300035</v>
      </c>
      <c r="AC13" s="63">
        <f>AC$4*Model!$W30^2*(1+$B$15)^($AA13-$AA$4)</f>
        <v>69913861.462307751</v>
      </c>
      <c r="AD13" s="63">
        <f>AD$4*Model!$W30^2*(1+$B$15)^($AA13-$AA$4)</f>
        <v>4219662.1036798637</v>
      </c>
      <c r="AE13" s="63">
        <f>AE$4*Model!$W30^2*(1+$B$15)^($AA13-$AA$4)</f>
        <v>1007038.9327950703</v>
      </c>
      <c r="AF13" s="63">
        <f>AF$4*Model!$W30^2*(1+$B$15)^($AA13-$AA$4)</f>
        <v>1051495.1270890227</v>
      </c>
      <c r="AG13" s="63">
        <f>AG$4*Model!$W30^2*(1+$B$15)^($AA13-$AA$4)</f>
        <v>1844345.0706156027</v>
      </c>
    </row>
    <row r="14" spans="1:34">
      <c r="A14" s="191" t="s">
        <v>242</v>
      </c>
      <c r="B14" s="68">
        <v>0.05</v>
      </c>
      <c r="C14" s="193">
        <v>2030</v>
      </c>
      <c r="D14" s="63">
        <f>D$4*Model!$T31^2*(1+$B$15)^($C14-$C$4)</f>
        <v>46569878.908532701</v>
      </c>
      <c r="E14" s="63">
        <f>E$4*Model!$T31^2*(1+$B$15)^($C14-$C$4)</f>
        <v>66316835.484304257</v>
      </c>
      <c r="F14" s="63">
        <f>F$4*Model!$T31^2*(1+$B$15)^($C14-$C$4)</f>
        <v>4002563.0350850574</v>
      </c>
      <c r="G14" s="63">
        <f>G$4*Model!$T31^2*(1+$B$15)^($C14-$C$4)</f>
        <v>955227.3874682876</v>
      </c>
      <c r="H14" s="63">
        <f>H$4*Model!$T31^2*(1+$B$15)^($C14-$C$4)</f>
        <v>997396.33739590284</v>
      </c>
      <c r="I14" s="232">
        <f>I$4*Model!$T31^2*(1+$B$15)^($C14-$C$4)</f>
        <v>1749454.6298267809</v>
      </c>
      <c r="K14" s="193">
        <v>2030</v>
      </c>
      <c r="L14" s="63">
        <f>L$4*Model!$U31^2*(1+$B$15)^($K14-$K$4)</f>
        <v>47800844.600121729</v>
      </c>
      <c r="M14" s="63">
        <f>M$4*Model!$U31^2*(1+$B$15)^($K14-$K$4)</f>
        <v>68069765.729544282</v>
      </c>
      <c r="N14" s="63">
        <f>N$4*Model!$U31^2*(1+$B$15)^($K14-$K$4)</f>
        <v>4108361.4157140739</v>
      </c>
      <c r="O14" s="63">
        <f>O$4*Model!$U31^2*(1+$B$15)^($K14-$K$4)</f>
        <v>980476.58650419582</v>
      </c>
      <c r="P14" s="63">
        <f>P$4*Model!$U31^2*(1+$B$15)^($K14-$K$4)</f>
        <v>1023760.1738718865</v>
      </c>
      <c r="Q14" s="63">
        <f>Q$4*Model!$U31^2*(1+$B$15)^($K14-$K$4)</f>
        <v>1795697.3660928134</v>
      </c>
      <c r="S14" s="193">
        <v>2030</v>
      </c>
      <c r="T14" s="63">
        <f>T$4*Model!$V31^2*(1+$B$15)^($S14-$S$4)</f>
        <v>50666892.163488559</v>
      </c>
      <c r="U14" s="63">
        <f>U$4*Model!$V31^2*(1+$B$15)^($S14-$S$4)</f>
        <v>72151099.183799088</v>
      </c>
      <c r="V14" s="63">
        <f>V$4*Model!$V31^2*(1+$B$15)^($S14-$S$4)</f>
        <v>4354690.9382034671</v>
      </c>
      <c r="W14" s="63">
        <f>W$4*Model!$V31^2*(1+$B$15)^($S14-$S$4)</f>
        <v>1039264.0944488028</v>
      </c>
      <c r="X14" s="63">
        <f>X$4*Model!$V31^2*(1+$B$15)^($S14-$S$4)</f>
        <v>1085142.8832433033</v>
      </c>
      <c r="Y14" s="63">
        <f>Y$4*Model!$V31^2*(1+$B$15)^($S14-$S$4)</f>
        <v>1903363.9586747666</v>
      </c>
      <c r="AA14" s="193">
        <v>2030</v>
      </c>
      <c r="AB14" s="63">
        <f>AB$4*Model!$W31^2*(1+$B$15)^($AA14-$AA$4)</f>
        <v>52510018.746107519</v>
      </c>
      <c r="AC14" s="63">
        <f>AC$4*Model!$W31^2*(1+$B$15)^($AA14-$AA$4)</f>
        <v>74775763.993350357</v>
      </c>
      <c r="AD14" s="63">
        <f>AD$4*Model!$W31^2*(1+$B$15)^($AA14-$AA$4)</f>
        <v>4513102.995556307</v>
      </c>
      <c r="AE14" s="63">
        <f>AE$4*Model!$W31^2*(1+$B$15)^($AA14-$AA$4)</f>
        <v>1077069.7540629592</v>
      </c>
      <c r="AF14" s="63">
        <f>AF$4*Model!$W31^2*(1+$B$15)^($AA14-$AA$4)</f>
        <v>1124617.4909929135</v>
      </c>
      <c r="AG14" s="63">
        <f>AG$4*Model!$W31^2*(1+$B$15)^($AA14-$AA$4)</f>
        <v>1972603.2697679454</v>
      </c>
    </row>
    <row r="15" spans="1:34" ht="15" customHeight="1">
      <c r="A15" s="224" t="s">
        <v>243</v>
      </c>
      <c r="B15" s="230">
        <f>'Inflation-Interest'!$B$63</f>
        <v>3.7539166666666658E-2</v>
      </c>
      <c r="C15" s="229">
        <v>2040</v>
      </c>
      <c r="D15" s="63">
        <f>D$4*Model!$T32^2*(1+$B$15)^($C15-$C$4)</f>
        <v>77575037.189781249</v>
      </c>
      <c r="E15" s="63">
        <f>E$4*Model!$T32^2*(1+$B$15)^($C15-$C$4)</f>
        <v>110469064.97454752</v>
      </c>
      <c r="F15" s="63">
        <f>F$4*Model!$T32^2*(1+$B$15)^($C15-$C$4)</f>
        <v>6667377.7896441212</v>
      </c>
      <c r="G15" s="63">
        <f>G$4*Model!$T32^2*(1+$B$15)^($C15-$C$4)</f>
        <v>1591195.8940905216</v>
      </c>
      <c r="H15" s="63">
        <f>H$4*Model!$T32^2*(1+$B$15)^($C15-$C$4)</f>
        <v>1661439.9646261958</v>
      </c>
      <c r="I15" s="232">
        <f>I$4*Model!$T32^2*(1+$B$15)^($C15-$C$4)</f>
        <v>2914201.4355932018</v>
      </c>
      <c r="K15" s="193">
        <v>2040</v>
      </c>
      <c r="L15" s="63">
        <f>L$4*Model!$U32^2*(1+$B$15)^($K15-$K$4)</f>
        <v>85316123.902647167</v>
      </c>
      <c r="M15" s="63">
        <f>M$4*Model!$U32^2*(1+$B$15)^($K15-$K$4)</f>
        <v>121492593.18717512</v>
      </c>
      <c r="N15" s="63">
        <f>N$4*Model!$U32^2*(1+$B$15)^($K15-$K$4)</f>
        <v>7332704.5685511651</v>
      </c>
      <c r="O15" s="63">
        <f>O$4*Model!$U32^2*(1+$B$15)^($K15-$K$4)</f>
        <v>1749978.7427945049</v>
      </c>
      <c r="P15" s="63">
        <f>P$4*Model!$U32^2*(1+$B$15)^($K15-$K$4)</f>
        <v>1827232.3548113008</v>
      </c>
      <c r="Q15" s="63">
        <f>Q$4*Model!$U32^2*(1+$B$15)^($K15-$K$4)</f>
        <v>3205004.8541786964</v>
      </c>
      <c r="S15" s="193">
        <v>2040</v>
      </c>
      <c r="T15" s="63">
        <f>T$4*Model!$V32^2*(1+$B$15)^($S15-$S$4)</f>
        <v>96554956.855979159</v>
      </c>
      <c r="U15" s="63">
        <f>U$4*Model!$V32^2*(1+$B$15)^($S15-$S$4)</f>
        <v>137497011.78284246</v>
      </c>
      <c r="V15" s="63">
        <f>V$4*Model!$V32^2*(1+$B$15)^($S15-$S$4)</f>
        <v>8298653.7698547645</v>
      </c>
      <c r="W15" s="63">
        <f>W$4*Model!$V32^2*(1+$B$15)^($S15-$S$4)</f>
        <v>1980506.3132288097</v>
      </c>
      <c r="X15" s="63">
        <f>X$4*Model!$V32^2*(1+$B$15)^($S15-$S$4)</f>
        <v>2067936.6702825581</v>
      </c>
      <c r="Y15" s="63">
        <f>Y$4*Model!$V32^2*(1+$B$15)^($S15-$S$4)</f>
        <v>3627205.4010745557</v>
      </c>
      <c r="AA15" s="193">
        <v>2040</v>
      </c>
      <c r="AB15" s="63">
        <f>AB$4*Model!$W32^2*(1+$B$15)^($AA15-$AA$4)</f>
        <v>112602605.83211519</v>
      </c>
      <c r="AC15" s="63">
        <f>AC$4*Model!$W32^2*(1+$B$15)^($AA15-$AA$4)</f>
        <v>160349321.51614699</v>
      </c>
      <c r="AD15" s="63">
        <f>AD$4*Model!$W32^2*(1+$B$15)^($AA15-$AA$4)</f>
        <v>9677908.5177157</v>
      </c>
      <c r="AE15" s="63">
        <f>AE$4*Model!$W32^2*(1+$B$15)^($AA15-$AA$4)</f>
        <v>2309670.875511446</v>
      </c>
      <c r="AF15" s="63">
        <f>AF$4*Model!$W32^2*(1+$B$15)^($AA15-$AA$4)</f>
        <v>2411632.3527224911</v>
      </c>
      <c r="AG15" s="63">
        <f>AG$4*Model!$W32^2*(1+$B$15)^($AA15-$AA$4)</f>
        <v>4230055.0209818184</v>
      </c>
    </row>
    <row r="16" spans="1:34">
      <c r="A16" s="225"/>
      <c r="B16" s="226"/>
      <c r="C16" s="193">
        <v>2050</v>
      </c>
      <c r="D16" s="63">
        <f>D$4*Model!$T33^2*(1+$B$15)^($C16-$C$4)</f>
        <v>120708325.7840049</v>
      </c>
      <c r="E16" s="63">
        <f>E$4*Model!$T33^2*(1+$B$15)^($C16-$C$4)</f>
        <v>171892097.85849264</v>
      </c>
      <c r="F16" s="63">
        <f>F$4*Model!$T33^2*(1+$B$15)^($C16-$C$4)</f>
        <v>10374574.599152315</v>
      </c>
      <c r="G16" s="63">
        <f>G$4*Model!$T33^2*(1+$B$15)^($C16-$C$4)</f>
        <v>2475932.9718420105</v>
      </c>
      <c r="H16" s="63">
        <f>H$4*Model!$T33^2*(1+$B$15)^($C16-$C$4)</f>
        <v>2585234.165341557</v>
      </c>
      <c r="I16" s="232">
        <f>I$4*Model!$T33^2*(1+$B$15)^($C16-$C$4)</f>
        <v>4534556.334497463</v>
      </c>
      <c r="K16" s="193">
        <v>2050</v>
      </c>
      <c r="L16" s="63">
        <f>L$4*Model!$U33^2*(1+$B$15)^($K16-$K$4)</f>
        <v>146289612.72601303</v>
      </c>
      <c r="M16" s="63">
        <f>M$4*Model!$U33^2*(1+$B$15)^($K16-$K$4)</f>
        <v>208320579.90247539</v>
      </c>
      <c r="N16" s="63">
        <f>N$4*Model!$U33^2*(1+$B$15)^($K16-$K$4)</f>
        <v>12573221.361904055</v>
      </c>
      <c r="O16" s="63">
        <f>O$4*Model!$U33^2*(1+$B$15)^($K16-$K$4)</f>
        <v>3000648.6564519149</v>
      </c>
      <c r="P16" s="63">
        <f>P$4*Model!$U33^2*(1+$B$15)^($K16-$K$4)</f>
        <v>3133113.66384628</v>
      </c>
      <c r="Q16" s="63">
        <f>Q$4*Model!$U33^2*(1+$B$15)^($K16-$K$4)</f>
        <v>5495548.7597842654</v>
      </c>
      <c r="S16" s="193">
        <v>2050</v>
      </c>
      <c r="T16" s="63">
        <f>T$4*Model!$V33^2*(1+$B$15)^($S16-$S$4)</f>
        <v>178945668.70541716</v>
      </c>
      <c r="U16" s="63">
        <f>U$4*Model!$V33^2*(1+$B$15)^($S16-$S$4)</f>
        <v>254823734.78947636</v>
      </c>
      <c r="V16" s="63">
        <f>V$4*Model!$V33^2*(1+$B$15)^($S16-$S$4)</f>
        <v>15379926.588506708</v>
      </c>
      <c r="W16" s="63">
        <f>W$4*Model!$V33^2*(1+$B$15)^($S16-$S$4)</f>
        <v>3670479.8814695277</v>
      </c>
      <c r="X16" s="63">
        <f>X$4*Model!$V33^2*(1+$B$15)^($S16-$S$4)</f>
        <v>3832514.8946638559</v>
      </c>
      <c r="Y16" s="63">
        <f>Y$4*Model!$V33^2*(1+$B$15)^($S16-$S$4)</f>
        <v>6722313.5627862224</v>
      </c>
      <c r="AA16" s="193">
        <v>2050</v>
      </c>
      <c r="AB16" s="63">
        <f>AB$4*Model!$W33^2*(1+$B$15)^($AA16-$AA$4)</f>
        <v>256222641.49873134</v>
      </c>
      <c r="AC16" s="63">
        <f>AC$4*Model!$W33^2*(1+$B$15)^($AA16-$AA$4)</f>
        <v>364868347.56428635</v>
      </c>
      <c r="AD16" s="63">
        <f>AD$4*Model!$W33^2*(1+$B$15)^($AA16-$AA$4)</f>
        <v>22021686.498883471</v>
      </c>
      <c r="AE16" s="63">
        <f>AE$4*Model!$W33^2*(1+$B$15)^($AA16-$AA$4)</f>
        <v>5255561.9680645689</v>
      </c>
      <c r="AF16" s="63">
        <f>AF$4*Model!$W33^2*(1+$B$15)^($AA16-$AA$4)</f>
        <v>5487571.1549663125</v>
      </c>
      <c r="AG16" s="63">
        <f>AG$4*Model!$W33^2*(1+$B$15)^($AA16-$AA$4)</f>
        <v>9625317.8436818551</v>
      </c>
    </row>
    <row r="17" spans="1:33">
      <c r="A17" s="225"/>
      <c r="B17" s="226"/>
      <c r="C17" s="193">
        <v>2060</v>
      </c>
      <c r="D17" s="63">
        <f>D$4*Model!$T34^2*(1+$B$15)^($C17-$C$4)</f>
        <v>177867948.99242342</v>
      </c>
      <c r="E17" s="63">
        <f>E$4*Model!$T34^2*(1+$B$15)^($C17-$C$4)</f>
        <v>253289031.18749419</v>
      </c>
      <c r="F17" s="63">
        <f>F$4*Model!$T34^2*(1+$B$15)^($C17-$C$4)</f>
        <v>15287299.311251303</v>
      </c>
      <c r="G17" s="63">
        <f>G$4*Model!$T34^2*(1+$B$15)^($C17-$C$4)</f>
        <v>3648374.01798021</v>
      </c>
      <c r="H17" s="63">
        <f>H$4*Model!$T34^2*(1+$B$15)^($C17-$C$4)</f>
        <v>3809433.1577198855</v>
      </c>
      <c r="I17" s="232">
        <f>I$4*Model!$T34^2*(1+$B$15)^($C17-$C$4)</f>
        <v>6681827.6996974302</v>
      </c>
      <c r="K17" s="193">
        <v>2060</v>
      </c>
      <c r="L17" s="63">
        <f>L$4*Model!$U34^2*(1+$B$15)^($K17-$K$4)</f>
        <v>237545681.95605499</v>
      </c>
      <c r="M17" s="63">
        <f>M$4*Model!$U34^2*(1+$B$15)^($K17-$K$4)</f>
        <v>338271824.61065388</v>
      </c>
      <c r="N17" s="63">
        <f>N$4*Model!$U34^2*(1+$B$15)^($K17-$K$4)</f>
        <v>20416449.173269589</v>
      </c>
      <c r="O17" s="63">
        <f>O$4*Model!$U34^2*(1+$B$15)^($K17-$K$4)</f>
        <v>4872465.7761066211</v>
      </c>
      <c r="P17" s="63">
        <f>P$4*Model!$U34^2*(1+$B$15)^($K17-$K$4)</f>
        <v>5087563.0063914694</v>
      </c>
      <c r="Q17" s="63">
        <f>Q$4*Model!$U34^2*(1+$B$15)^($K17-$K$4)</f>
        <v>8923694.9468906019</v>
      </c>
      <c r="S17" s="193">
        <v>2060</v>
      </c>
      <c r="T17" s="63">
        <f>T$4*Model!$V34^2*(1+$B$15)^($S17-$S$4)</f>
        <v>328591541.90318954</v>
      </c>
      <c r="U17" s="63">
        <f>U$4*Model!$V34^2*(1+$B$15)^($S17-$S$4)</f>
        <v>467923725.30595177</v>
      </c>
      <c r="V17" s="63">
        <f>V$4*Model!$V34^2*(1+$B$15)^($S17-$S$4)</f>
        <v>28241610.029660873</v>
      </c>
      <c r="W17" s="63">
        <f>W$4*Model!$V34^2*(1+$B$15)^($S17-$S$4)</f>
        <v>6739971.1460029157</v>
      </c>
      <c r="X17" s="63">
        <f>X$4*Model!$V34^2*(1+$B$15)^($S17-$S$4)</f>
        <v>7037510.2550130254</v>
      </c>
      <c r="Y17" s="63">
        <f>Y$4*Model!$V34^2*(1+$B$15)^($S17-$S$4)</f>
        <v>12343944.364414668</v>
      </c>
      <c r="AA17" s="193">
        <v>2060</v>
      </c>
      <c r="AB17" s="63">
        <f>AB$4*Model!$W34^2*(1+$B$15)^($AA17-$AA$4)</f>
        <v>616770600.57190716</v>
      </c>
      <c r="AC17" s="63">
        <f>AC$4*Model!$W34^2*(1+$B$15)^($AA17-$AA$4)</f>
        <v>878298922.14275098</v>
      </c>
      <c r="AD17" s="63">
        <f>AD$4*Model!$W34^2*(1+$B$15)^($AA17-$AA$4)</f>
        <v>53009869.573098868</v>
      </c>
      <c r="AE17" s="63">
        <f>AE$4*Model!$W34^2*(1+$B$15)^($AA17-$AA$4)</f>
        <v>12651013.557684004</v>
      </c>
      <c r="AF17" s="63">
        <f>AF$4*Model!$W34^2*(1+$B$15)^($AA17-$AA$4)</f>
        <v>13209498.337587021</v>
      </c>
      <c r="AG17" s="63">
        <f>AG$4*Model!$W34^2*(1+$B$15)^($AA17-$AA$4)</f>
        <v>23169744.220955376</v>
      </c>
    </row>
    <row r="18" spans="1:33">
      <c r="A18" s="225"/>
      <c r="B18" s="226"/>
      <c r="C18" s="193">
        <v>2070</v>
      </c>
      <c r="D18" s="63">
        <f>D$4*Model!$T35^2*(1+$B$15)^($C18-$C$4)</f>
        <v>252137424.66829908</v>
      </c>
      <c r="E18" s="63">
        <f>E$4*Model!$T35^2*(1+$B$15)^($C18-$C$4)</f>
        <v>359050882.30968267</v>
      </c>
      <c r="F18" s="63">
        <f>F$4*Model!$T35^2*(1+$B$15)^($C18-$C$4)</f>
        <v>21670572.468548305</v>
      </c>
      <c r="G18" s="63">
        <f>G$4*Model!$T35^2*(1+$B$15)^($C18-$C$4)</f>
        <v>5171767.2258055275</v>
      </c>
      <c r="H18" s="63">
        <f>H$4*Model!$T35^2*(1+$B$15)^($C18-$C$4)</f>
        <v>5400077.255483686</v>
      </c>
      <c r="I18" s="232">
        <f>I$4*Model!$T35^2*(1+$B$15)^($C18-$C$4)</f>
        <v>9471851.6619921159</v>
      </c>
      <c r="K18" s="193">
        <v>2070</v>
      </c>
      <c r="L18" s="63">
        <f>L$4*Model!$U35^2*(1+$B$15)^($K18-$K$4)</f>
        <v>362527233.94198501</v>
      </c>
      <c r="M18" s="63">
        <f>M$4*Model!$U35^2*(1+$B$15)^($K18-$K$4)</f>
        <v>516249118.42975622</v>
      </c>
      <c r="N18" s="63">
        <f>N$4*Model!$U35^2*(1+$B$15)^($K18-$K$4)</f>
        <v>31158296.731623191</v>
      </c>
      <c r="O18" s="63">
        <f>O$4*Model!$U35^2*(1+$B$15)^($K18-$K$4)</f>
        <v>7436049.8820420485</v>
      </c>
      <c r="P18" s="63">
        <f>P$4*Model!$U35^2*(1+$B$15)^($K18-$K$4)</f>
        <v>7764317.705231416</v>
      </c>
      <c r="Q18" s="63">
        <f>Q$4*Model!$U35^2*(1+$B$15)^($K18-$K$4)</f>
        <v>13618780.265754508</v>
      </c>
      <c r="S18" s="193">
        <v>2070</v>
      </c>
      <c r="T18" s="63">
        <f>T$4*Model!$V35^2*(1+$B$15)^($S18-$S$4)</f>
        <v>591284000.79340935</v>
      </c>
      <c r="U18" s="63">
        <f>U$4*Model!$V35^2*(1+$B$15)^($S18-$S$4)</f>
        <v>842005277.31956756</v>
      </c>
      <c r="V18" s="63">
        <f>V$4*Model!$V35^2*(1+$B$15)^($S18-$S$4)</f>
        <v>50819360.932013877</v>
      </c>
      <c r="W18" s="63">
        <f>W$4*Model!$V35^2*(1+$B$15)^($S18-$S$4)</f>
        <v>12128240.067770472</v>
      </c>
      <c r="X18" s="63">
        <f>X$4*Model!$V35^2*(1+$B$15)^($S18-$S$4)</f>
        <v>12663646.772851873</v>
      </c>
      <c r="Y18" s="63">
        <f>Y$4*Model!$V35^2*(1+$B$15)^($S18-$S$4)</f>
        <v>22212308.835121345</v>
      </c>
      <c r="AA18" s="193">
        <v>2070</v>
      </c>
      <c r="AB18" s="63">
        <f>AB$4*Model!$W35^2*(1+$B$15)^($AA18-$AA$4)</f>
        <v>1549808652.8122118</v>
      </c>
      <c r="AC18" s="63">
        <f>AC$4*Model!$W35^2*(1+$B$15)^($AA18-$AA$4)</f>
        <v>2206971713.6813779</v>
      </c>
      <c r="AD18" s="63">
        <f>AD$4*Model!$W35^2*(1+$B$15)^($AA18-$AA$4)</f>
        <v>133202124.86239807</v>
      </c>
      <c r="AE18" s="63">
        <f>AE$4*Model!$W35^2*(1+$B$15)^($AA18-$AA$4)</f>
        <v>31789210.219103824</v>
      </c>
      <c r="AF18" s="63">
        <f>AF$4*Model!$W35^2*(1+$B$15)^($AA18-$AA$4)</f>
        <v>33192559.444172323</v>
      </c>
      <c r="AG18" s="63">
        <f>AG$4*Model!$W35^2*(1+$B$15)^($AA18-$AA$4)</f>
        <v>58220463.238334782</v>
      </c>
    </row>
    <row r="19" spans="1:33" ht="15.75" customHeight="1">
      <c r="A19" s="227"/>
      <c r="B19" s="226"/>
      <c r="C19" s="193">
        <v>2080</v>
      </c>
      <c r="D19" s="63">
        <f>D$4*Model!$T36^2*(1+$B$15)^($C19-$C$4)</f>
        <v>343496946.77455914</v>
      </c>
      <c r="E19" s="63">
        <f>E$4*Model!$T36^2*(1+$B$15)^($C19-$C$4)</f>
        <v>489149446.86350667</v>
      </c>
      <c r="F19" s="63">
        <f>F$4*Model!$T36^2*(1+$B$15)^($C19-$C$4)</f>
        <v>29522691.792366281</v>
      </c>
      <c r="G19" s="63">
        <f>G$4*Model!$T36^2*(1+$B$15)^($C19-$C$4)</f>
        <v>7045706.339826379</v>
      </c>
      <c r="H19" s="63">
        <f>H$4*Model!$T36^2*(1+$B$15)^($C19-$C$4)</f>
        <v>7356742.2688068841</v>
      </c>
      <c r="I19" s="232">
        <f>I$4*Model!$T36^2*(1+$B$15)^($C19-$C$4)</f>
        <v>12903884.183302242</v>
      </c>
      <c r="K19" s="193">
        <v>2080</v>
      </c>
      <c r="L19" s="63">
        <f>L$4*Model!$U36^2*(1+$B$15)^($K19-$K$4)</f>
        <v>526148987.90354377</v>
      </c>
      <c r="M19" s="63">
        <f>M$4*Model!$U36^2*(1+$B$15)^($K19-$K$4)</f>
        <v>749251161.66963828</v>
      </c>
      <c r="N19" s="63">
        <f>N$4*Model!$U36^2*(1+$B$15)^($K19-$K$4)</f>
        <v>45221171.694828711</v>
      </c>
      <c r="O19" s="63">
        <f>O$4*Model!$U36^2*(1+$B$15)^($K19-$K$4)</f>
        <v>10792210.220716272</v>
      </c>
      <c r="P19" s="63">
        <f>P$4*Model!$U36^2*(1+$B$15)^($K19-$K$4)</f>
        <v>11268637.277117847</v>
      </c>
      <c r="Q19" s="63">
        <f>Q$4*Model!$U36^2*(1+$B$15)^($K19-$K$4)</f>
        <v>19765432.172894854</v>
      </c>
      <c r="S19" s="193">
        <v>2080</v>
      </c>
      <c r="T19" s="63">
        <f>T$4*Model!$V36^2*(1+$B$15)^($S19-$S$4)</f>
        <v>1023627375.8474422</v>
      </c>
      <c r="U19" s="63">
        <f>U$4*Model!$V36^2*(1+$B$15)^($S19-$S$4)</f>
        <v>1457674571.4678469</v>
      </c>
      <c r="V19" s="63">
        <f>V$4*Model!$V36^2*(1+$B$15)^($S19-$S$4)</f>
        <v>87978178.004611477</v>
      </c>
      <c r="W19" s="63">
        <f>W$4*Model!$V36^2*(1+$B$15)^($S19-$S$4)</f>
        <v>20996337.694848843</v>
      </c>
      <c r="X19" s="63">
        <f>X$4*Model!$V36^2*(1+$B$15)^($S19-$S$4)</f>
        <v>21923230.625823118</v>
      </c>
      <c r="Y19" s="63">
        <f>Y$4*Model!$V36^2*(1+$B$15)^($S19-$S$4)</f>
        <v>38453818.087245047</v>
      </c>
      <c r="AA19" s="193">
        <v>2080</v>
      </c>
      <c r="AB19" s="63">
        <f>AB$4*Model!$W36^2*(1+$B$15)^($AA19-$AA$4)</f>
        <v>3955647238.7837148</v>
      </c>
      <c r="AC19" s="63">
        <f>AC$4*Model!$W36^2*(1+$B$15)^($AA19-$AA$4)</f>
        <v>5632954461.4791288</v>
      </c>
      <c r="AD19" s="63">
        <f>AD$4*Model!$W36^2*(1+$B$15)^($AA19-$AA$4)</f>
        <v>339977852.39873248</v>
      </c>
      <c r="AE19" s="63">
        <f>AE$4*Model!$W36^2*(1+$B$15)^($AA19-$AA$4)</f>
        <v>81137049.659736097</v>
      </c>
      <c r="AF19" s="63">
        <f>AF$4*Model!$W36^2*(1+$B$15)^($AA19-$AA$4)</f>
        <v>84718881.827932209</v>
      </c>
      <c r="AG19" s="63">
        <f>AG$4*Model!$W36^2*(1+$B$15)^($AA19-$AA$4)</f>
        <v>148598741.03266659</v>
      </c>
    </row>
    <row r="20" spans="1:33">
      <c r="A20" s="225"/>
      <c r="B20" s="226"/>
      <c r="C20" s="193">
        <v>2090</v>
      </c>
      <c r="D20" s="63">
        <f>D$4*Model!$T37^2*(1+$B$15)^($C20-$C$4)</f>
        <v>451075820.24239218</v>
      </c>
      <c r="E20" s="63">
        <f>E$4*Model!$T37^2*(1+$B$15)^($C20-$C$4)</f>
        <v>642344830.24351156</v>
      </c>
      <c r="F20" s="63">
        <f>F$4*Model!$T37^2*(1+$B$15)^($C20-$C$4)</f>
        <v>38768823.248798877</v>
      </c>
      <c r="G20" s="63">
        <f>G$4*Model!$T37^2*(1+$B$15)^($C20-$C$4)</f>
        <v>9252331.9239575658</v>
      </c>
      <c r="H20" s="63">
        <f>H$4*Model!$T37^2*(1+$B$15)^($C20-$C$4)</f>
        <v>9660780.3486296404</v>
      </c>
      <c r="I20" s="232">
        <f>I$4*Model!$T37^2*(1+$B$15)^($C20-$C$4)</f>
        <v>16945216.535260893</v>
      </c>
      <c r="K20" s="193">
        <v>2090</v>
      </c>
      <c r="L20" s="63">
        <f>L$4*Model!$U37^2*(1+$B$15)^($K20-$K$4)</f>
        <v>736355970.65941119</v>
      </c>
      <c r="M20" s="63">
        <f>M$4*Model!$U37^2*(1+$B$15)^($K20-$K$4)</f>
        <v>1048591899.0688643</v>
      </c>
      <c r="N20" s="63">
        <f>N$4*Model!$U37^2*(1+$B$15)^($K20-$K$4)</f>
        <v>63287928.976888955</v>
      </c>
      <c r="O20" s="63">
        <f>O$4*Model!$U37^2*(1+$B$15)^($K20-$K$4)</f>
        <v>15103912.799111601</v>
      </c>
      <c r="P20" s="63">
        <f>P$4*Model!$U37^2*(1+$B$15)^($K20-$K$4)</f>
        <v>15770681.937949706</v>
      </c>
      <c r="Q20" s="63">
        <f>Q$4*Model!$U37^2*(1+$B$15)^($K20-$K$4)</f>
        <v>27662115.347151306</v>
      </c>
      <c r="S20" s="193">
        <v>2090</v>
      </c>
      <c r="T20" s="63">
        <f>T$4*Model!$V37^2*(1+$B$15)^($S20-$S$4)</f>
        <v>1722139112.7514393</v>
      </c>
      <c r="U20" s="63">
        <f>U$4*Model!$V37^2*(1+$B$15)^($S20-$S$4)</f>
        <v>2452375202.5581827</v>
      </c>
      <c r="V20" s="63">
        <f>V$4*Model!$V37^2*(1+$B$15)^($S20-$S$4)</f>
        <v>148013491.02735445</v>
      </c>
      <c r="W20" s="63">
        <f>W$4*Model!$V37^2*(1+$B$15)^($S20-$S$4)</f>
        <v>35324000.922602847</v>
      </c>
      <c r="X20" s="63">
        <f>X$4*Model!$V37^2*(1+$B$15)^($S20-$S$4)</f>
        <v>36883395.100041807</v>
      </c>
      <c r="Y20" s="63">
        <f>Y$4*Model!$V37^2*(1+$B$15)^($S20-$S$4)</f>
        <v>64694268.368749686</v>
      </c>
      <c r="AA20" s="193">
        <v>2090</v>
      </c>
      <c r="AB20" s="63">
        <f>AB$4*Model!$W37^2*(1+$B$15)^($AA20-$AA$4)</f>
        <v>9840683107.6795635</v>
      </c>
      <c r="AC20" s="63">
        <f>AC$4*Model!$W37^2*(1+$B$15)^($AA20-$AA$4)</f>
        <v>14013413347.862185</v>
      </c>
      <c r="AD20" s="63">
        <f>AD$4*Model!$W37^2*(1+$B$15)^($AA20-$AA$4)</f>
        <v>845781766.45349562</v>
      </c>
      <c r="AE20" s="63">
        <f>AE$4*Model!$W37^2*(1+$B$15)^($AA20-$AA$4)</f>
        <v>201849140.17738068</v>
      </c>
      <c r="AF20" s="63">
        <f>AF$4*Model!$W37^2*(1+$B$15)^($AA20-$AA$4)</f>
        <v>210759862.79352295</v>
      </c>
      <c r="AG20" s="63">
        <f>AG$4*Model!$W37^2*(1+$B$15)^($AA20-$AA$4)</f>
        <v>369677332.79276073</v>
      </c>
    </row>
    <row r="21" spans="1:33">
      <c r="A21" s="225"/>
      <c r="B21" s="226"/>
      <c r="C21" s="194">
        <v>2100</v>
      </c>
      <c r="D21" s="63">
        <f>D$4*Model!$T38^2*(1+$B$15)^($C21-$C$4)</f>
        <v>590123082.48942077</v>
      </c>
      <c r="E21" s="63">
        <f>E$4*Model!$T38^2*(1+$B$15)^($C21-$C$4)</f>
        <v>840352096.55163956</v>
      </c>
      <c r="F21" s="63">
        <f>F$4*Model!$T38^2*(1+$B$15)^($C21-$C$4)</f>
        <v>50719582.946775295</v>
      </c>
      <c r="G21" s="63">
        <f>G$4*Model!$T38^2*(1+$B$15)^($C21-$C$4)</f>
        <v>12104427.659738207</v>
      </c>
      <c r="H21" s="63">
        <f>H$4*Model!$T38^2*(1+$B$15)^($C21-$C$4)</f>
        <v>12638783.155175557</v>
      </c>
      <c r="I21" s="233">
        <f>I$4*Model!$T38^2*(1+$B$15)^($C21-$C$4)</f>
        <v>22168697.514899697</v>
      </c>
      <c r="K21" s="194">
        <v>2100</v>
      </c>
      <c r="L21" s="63">
        <f>L$4*Model!$U38^2*(1+$B$15)^($K21-$K$4)</f>
        <v>1009780173.0412141</v>
      </c>
      <c r="M21" s="63">
        <f>M$4*Model!$U38^2*(1+$B$15)^($K21-$K$4)</f>
        <v>1437955759.8251956</v>
      </c>
      <c r="N21" s="63">
        <f>N$4*Model!$U38^2*(1+$B$15)^($K21-$K$4)</f>
        <v>86788046.026806816</v>
      </c>
      <c r="O21" s="63">
        <f>O$4*Model!$U38^2*(1+$B$15)^($K21-$K$4)</f>
        <v>20712308.024376296</v>
      </c>
      <c r="P21" s="63">
        <f>P$4*Model!$U38^2*(1+$B$15)^($K21-$K$4)</f>
        <v>21626662.33563631</v>
      </c>
      <c r="Q21" s="63">
        <f>Q$4*Model!$U38^2*(1+$B$15)^($K21-$K$4)</f>
        <v>37933630.927061819</v>
      </c>
      <c r="S21" s="194">
        <v>2100</v>
      </c>
      <c r="T21" s="63">
        <f>T$4*Model!$V38^2*(1+$B$15)^($S21-$S$4)</f>
        <v>2858915207.9266324</v>
      </c>
      <c r="U21" s="63">
        <f>U$4*Model!$V38^2*(1+$B$15)^($S21-$S$4)</f>
        <v>4071176776.7321358</v>
      </c>
      <c r="V21" s="63">
        <f>V$4*Model!$V38^2*(1+$B$15)^($S21-$S$4)</f>
        <v>245716514.62020496</v>
      </c>
      <c r="W21" s="63">
        <f>W$4*Model!$V38^2*(1+$B$15)^($S21-$S$4)</f>
        <v>58641211.209178075</v>
      </c>
      <c r="X21" s="63">
        <f>X$4*Model!$V38^2*(1+$B$15)^($S21-$S$4)</f>
        <v>61229954.299688175</v>
      </c>
      <c r="Y21" s="63">
        <f>Y$4*Model!$V38^2*(1+$B$15)^($S21-$S$4)</f>
        <v>107398656.90037346</v>
      </c>
      <c r="AA21" s="194">
        <v>2100</v>
      </c>
      <c r="AB21" s="63">
        <f>AB$4*Model!$W38^2*(1+$B$15)^($AA21-$AA$4)</f>
        <v>23179988781.761963</v>
      </c>
      <c r="AC21" s="63">
        <f>AC$4*Model!$W38^2*(1+$B$15)^($AA21-$AA$4)</f>
        <v>33008964991.886005</v>
      </c>
      <c r="AD21" s="63">
        <f>AD$4*Model!$W38^2*(1+$B$15)^($AA21-$AA$4)</f>
        <v>1992261273.2962759</v>
      </c>
      <c r="AE21" s="63">
        <f>AE$4*Model!$W38^2*(1+$B$15)^($AA21-$AA$4)</f>
        <v>475460977.01984203</v>
      </c>
      <c r="AF21" s="63">
        <f>AF$4*Model!$W38^2*(1+$B$15)^($AA21-$AA$4)</f>
        <v>496450419.31967396</v>
      </c>
      <c r="AG21" s="63">
        <f>AG$4*Model!$W38^2*(1+$B$15)^($AA21-$AA$4)</f>
        <v>870784714.15471435</v>
      </c>
    </row>
    <row r="22" spans="1:33">
      <c r="A22" s="275"/>
      <c r="B22" s="276"/>
      <c r="C22" s="209" t="s">
        <v>88</v>
      </c>
      <c r="D22" s="281" t="s">
        <v>244</v>
      </c>
      <c r="E22" s="281"/>
      <c r="F22" s="281"/>
      <c r="G22" s="281"/>
      <c r="H22" s="281"/>
      <c r="I22" s="281"/>
      <c r="K22" s="209" t="s">
        <v>88</v>
      </c>
      <c r="L22" s="279" t="s">
        <v>244</v>
      </c>
      <c r="M22" s="279"/>
      <c r="N22" s="279"/>
      <c r="O22" s="279"/>
      <c r="P22" s="279"/>
      <c r="Q22" s="277"/>
      <c r="S22" s="209" t="s">
        <v>88</v>
      </c>
      <c r="T22" s="279" t="s">
        <v>244</v>
      </c>
      <c r="U22" s="279"/>
      <c r="V22" s="279"/>
      <c r="W22" s="279"/>
      <c r="X22" s="279"/>
      <c r="Y22" s="277"/>
      <c r="AA22" s="209" t="s">
        <v>88</v>
      </c>
      <c r="AB22" s="277" t="s">
        <v>244</v>
      </c>
      <c r="AC22" s="278"/>
      <c r="AD22" s="278"/>
      <c r="AE22" s="278"/>
      <c r="AF22" s="278"/>
      <c r="AG22" s="278"/>
    </row>
    <row r="23" spans="1:33">
      <c r="A23" s="260"/>
      <c r="B23" s="261"/>
      <c r="C23" s="193">
        <v>2020</v>
      </c>
      <c r="D23" s="62">
        <f>'Demographic-Economic'!B3</f>
        <v>6306408</v>
      </c>
      <c r="E23" s="62">
        <f>'Demographic-Economic'!C3</f>
        <v>4212348</v>
      </c>
      <c r="F23" s="62">
        <f>'Demographic-Economic'!D3</f>
        <v>4993764</v>
      </c>
      <c r="G23" s="62">
        <f>'Demographic-Economic'!E3</f>
        <v>1010676</v>
      </c>
      <c r="H23" s="62">
        <f>'Demographic-Economic'!F3</f>
        <v>1266672</v>
      </c>
      <c r="I23" s="196">
        <f>'Demographic-Economic'!G3</f>
        <v>307884</v>
      </c>
      <c r="K23" s="193">
        <v>2020</v>
      </c>
      <c r="L23" s="62">
        <f>'Demographic-Economic'!B$3</f>
        <v>6306408</v>
      </c>
      <c r="M23" s="62">
        <f>'Demographic-Economic'!C$3</f>
        <v>4212348</v>
      </c>
      <c r="N23" s="62">
        <f>'Demographic-Economic'!D$3</f>
        <v>4993764</v>
      </c>
      <c r="O23" s="62">
        <f>'Demographic-Economic'!E$3</f>
        <v>1010676</v>
      </c>
      <c r="P23" s="62">
        <f>'Demographic-Economic'!F$3</f>
        <v>1266672</v>
      </c>
      <c r="Q23" s="62">
        <f>'Demographic-Economic'!G$3</f>
        <v>307884</v>
      </c>
      <c r="R23" s="62"/>
      <c r="S23" s="193">
        <v>2020</v>
      </c>
      <c r="T23" s="62">
        <f>'Demographic-Economic'!B3</f>
        <v>6306408</v>
      </c>
      <c r="U23" s="62">
        <f>'Demographic-Economic'!C3</f>
        <v>4212348</v>
      </c>
      <c r="V23" s="62">
        <f>'Demographic-Economic'!D3</f>
        <v>4993764</v>
      </c>
      <c r="W23" s="62">
        <f>'Demographic-Economic'!E3</f>
        <v>1010676</v>
      </c>
      <c r="X23" s="62">
        <f>'Demographic-Economic'!F3</f>
        <v>1266672</v>
      </c>
      <c r="Y23" s="196">
        <f>'Demographic-Economic'!G3</f>
        <v>307884</v>
      </c>
      <c r="AA23" s="193">
        <v>2020</v>
      </c>
      <c r="AB23" s="62">
        <f>'Demographic-Economic'!B3</f>
        <v>6306408</v>
      </c>
      <c r="AC23" s="62">
        <f>'Demographic-Economic'!C3</f>
        <v>4212348</v>
      </c>
      <c r="AD23" s="62">
        <f>'Demographic-Economic'!D3</f>
        <v>4993764</v>
      </c>
      <c r="AE23" s="62">
        <f>'Demographic-Economic'!E3</f>
        <v>1010676</v>
      </c>
      <c r="AF23" s="62">
        <f>'Demographic-Economic'!F3</f>
        <v>1266672</v>
      </c>
      <c r="AG23" s="196">
        <f>'Demographic-Economic'!G3</f>
        <v>307884</v>
      </c>
    </row>
    <row r="24" spans="1:33">
      <c r="A24" s="260"/>
      <c r="B24" s="261"/>
      <c r="C24" s="193">
        <v>2021</v>
      </c>
      <c r="D24" s="62">
        <f>D23*'Economic Projections'!$B4/'Economic Projections'!$B3</f>
        <v>6346343.0374670187</v>
      </c>
      <c r="E24" s="62">
        <f>E23*'Economic Projections'!$B4/'Economic Projections'!$B3</f>
        <v>4239022.4992084438</v>
      </c>
      <c r="F24" s="62">
        <f>F23*'Economic Projections'!$B4/'Economic Projections'!$B3</f>
        <v>5025386.7799472297</v>
      </c>
      <c r="G24" s="62">
        <f>G23*'Economic Projections'!$B4/'Economic Projections'!$B3</f>
        <v>1017076.0591029024</v>
      </c>
      <c r="H24" s="62">
        <f>H23*'Economic Projections'!$B4/'Economic Projections'!$B3</f>
        <v>1274693.1419525067</v>
      </c>
      <c r="I24" s="62">
        <f>I23*'Economic Projections'!$B4/'Economic Projections'!$B3</f>
        <v>309833.66121372033</v>
      </c>
      <c r="J24" s="62"/>
      <c r="K24" s="193">
        <v>2021</v>
      </c>
      <c r="L24" s="62">
        <f>L23*'Economic Projections'!$C4/'Economic Projections'!$C3</f>
        <v>6360273.5085413931</v>
      </c>
      <c r="M24" s="62">
        <f>M23*'Economic Projections'!$C4/'Economic Projections'!$C3</f>
        <v>4248327.3193166889</v>
      </c>
      <c r="N24" s="62">
        <f>N23*'Economic Projections'!$C4/'Economic Projections'!$C3</f>
        <v>5036417.7003942188</v>
      </c>
      <c r="O24" s="62">
        <f>O23*'Economic Projections'!$C4/'Economic Projections'!$C3</f>
        <v>1019308.5808147176</v>
      </c>
      <c r="P24" s="62">
        <f>P23*'Economic Projections'!$C4/'Economic Projections'!$C3</f>
        <v>1277491.1432325887</v>
      </c>
      <c r="Q24" s="62">
        <f>Q23*'Economic Projections'!$C4/'Economic Projections'!$C3</f>
        <v>310513.75821287779</v>
      </c>
      <c r="R24" s="62"/>
      <c r="S24" s="193">
        <v>2021</v>
      </c>
      <c r="T24" s="62">
        <f>T23*'Economic Projections'!$D4/'Economic Projections'!$D3</f>
        <v>6372748.1361038964</v>
      </c>
      <c r="U24" s="62">
        <f>U23*'Economic Projections'!$D4/'Economic Projections'!$D3</f>
        <v>4256659.7127272729</v>
      </c>
      <c r="V24" s="62">
        <f>V23*'Economic Projections'!$D4/'Economic Projections'!$D3</f>
        <v>5046295.8031168832</v>
      </c>
      <c r="W24" s="62">
        <f>W23*'Economic Projections'!$D4/'Economic Projections'!$D3</f>
        <v>1021307.7864935065</v>
      </c>
      <c r="X24" s="62">
        <f>X23*'Economic Projections'!$D4/'Economic Projections'!$D3</f>
        <v>1279996.7314285715</v>
      </c>
      <c r="Y24" s="62">
        <f>Y23*'Economic Projections'!$D4/'Economic Projections'!$D3</f>
        <v>311122.77974025975</v>
      </c>
      <c r="AA24" s="193">
        <v>2021</v>
      </c>
      <c r="AB24" s="62">
        <f>AB23*'Economic Projections'!$E4/'Economic Projections'!$E3</f>
        <v>6348172.2913907291</v>
      </c>
      <c r="AC24" s="62">
        <f>AC23*'Economic Projections'!$E4/'Economic Projections'!$E3</f>
        <v>4240244.3443708606</v>
      </c>
      <c r="AD24" s="62">
        <f>AD23*'Economic Projections'!$E4/'Economic Projections'!$E3</f>
        <v>5026835.2847682117</v>
      </c>
      <c r="AE24" s="62">
        <f>AE23*'Economic Projections'!$E4/'Economic Projections'!$E3</f>
        <v>1017369.2185430464</v>
      </c>
      <c r="AF24" s="62">
        <f>AF23*'Economic Projections'!$E4/'Economic Projections'!$E3</f>
        <v>1275060.5562913907</v>
      </c>
      <c r="AG24" s="62">
        <f>AG23*'Economic Projections'!$E4/'Economic Projections'!$E3</f>
        <v>309922.96688741725</v>
      </c>
    </row>
    <row r="25" spans="1:33">
      <c r="A25" s="260"/>
      <c r="B25" s="261"/>
      <c r="C25" s="193">
        <v>2022</v>
      </c>
      <c r="D25" s="62">
        <f>D24*'Economic Projections'!$B5/'Economic Projections'!$B4</f>
        <v>6386278.0749340374</v>
      </c>
      <c r="E25" s="62">
        <f>E24*'Economic Projections'!$B5/'Economic Projections'!$B4</f>
        <v>4265696.9984168876</v>
      </c>
      <c r="F25" s="62">
        <f>F24*'Economic Projections'!$B5/'Economic Projections'!$B4</f>
        <v>5057009.5598944593</v>
      </c>
      <c r="G25" s="62">
        <f>G24*'Economic Projections'!$B5/'Economic Projections'!$B4</f>
        <v>1023476.1182058048</v>
      </c>
      <c r="H25" s="62">
        <f>H24*'Economic Projections'!$B5/'Economic Projections'!$B4</f>
        <v>1282714.2839050135</v>
      </c>
      <c r="I25" s="62">
        <f>I24*'Economic Projections'!$B5/'Economic Projections'!$B4</f>
        <v>311783.32242744067</v>
      </c>
      <c r="J25" s="62"/>
      <c r="K25" s="193">
        <v>2022</v>
      </c>
      <c r="L25" s="62">
        <f>L24*'Economic Projections'!$C5/'Economic Projections'!$C4</f>
        <v>6414139.0170827862</v>
      </c>
      <c r="M25" s="62">
        <f>M24*'Economic Projections'!$C5/'Economic Projections'!$C4</f>
        <v>4284306.6386333779</v>
      </c>
      <c r="N25" s="62">
        <f>N24*'Economic Projections'!$C5/'Economic Projections'!$C4</f>
        <v>5079071.4007884366</v>
      </c>
      <c r="O25" s="62">
        <f>O24*'Economic Projections'!$C5/'Economic Projections'!$C4</f>
        <v>1027941.1616294351</v>
      </c>
      <c r="P25" s="62">
        <f>P24*'Economic Projections'!$C5/'Economic Projections'!$C4</f>
        <v>1288310.2864651773</v>
      </c>
      <c r="Q25" s="62">
        <f>Q24*'Economic Projections'!$C5/'Economic Projections'!$C4</f>
        <v>313143.51642575557</v>
      </c>
      <c r="R25" s="62"/>
      <c r="S25" s="193">
        <v>2022</v>
      </c>
      <c r="T25" s="62">
        <f>T24*'Economic Projections'!$D5/'Economic Projections'!$D4</f>
        <v>6439088.2722077928</v>
      </c>
      <c r="U25" s="62">
        <f>U24*'Economic Projections'!$D5/'Economic Projections'!$D4</f>
        <v>4300971.4254545458</v>
      </c>
      <c r="V25" s="62">
        <f>V24*'Economic Projections'!$D5/'Economic Projections'!$D4</f>
        <v>5098827.6062337663</v>
      </c>
      <c r="W25" s="62">
        <f>W24*'Economic Projections'!$D5/'Economic Projections'!$D4</f>
        <v>1031939.5729870131</v>
      </c>
      <c r="X25" s="62">
        <f>X24*'Economic Projections'!$D5/'Economic Projections'!$D4</f>
        <v>1293321.462857143</v>
      </c>
      <c r="Y25" s="62">
        <f>Y24*'Economic Projections'!$D5/'Economic Projections'!$D4</f>
        <v>314361.5594805195</v>
      </c>
      <c r="AA25" s="193">
        <v>2022</v>
      </c>
      <c r="AB25" s="62">
        <f>AB24*'Economic Projections'!$E5/'Economic Projections'!$E4</f>
        <v>6389936.5827814573</v>
      </c>
      <c r="AC25" s="62">
        <f>AC24*'Economic Projections'!$E5/'Economic Projections'!$E4</f>
        <v>4268140.6887417212</v>
      </c>
      <c r="AD25" s="62">
        <f>AD24*'Economic Projections'!$E5/'Economic Projections'!$E4</f>
        <v>5059906.5695364233</v>
      </c>
      <c r="AE25" s="62">
        <f>AE24*'Economic Projections'!$E5/'Economic Projections'!$E4</f>
        <v>1024062.4370860928</v>
      </c>
      <c r="AF25" s="62">
        <f>AF24*'Economic Projections'!$E5/'Economic Projections'!$E4</f>
        <v>1283449.1125827816</v>
      </c>
      <c r="AG25" s="62">
        <f>AG24*'Economic Projections'!$E5/'Economic Projections'!$E4</f>
        <v>311961.9337748345</v>
      </c>
    </row>
    <row r="26" spans="1:33">
      <c r="A26" s="260"/>
      <c r="B26" s="261"/>
      <c r="C26" s="193">
        <v>2023</v>
      </c>
      <c r="D26" s="62">
        <f>D25*'Economic Projections'!$B6/'Economic Projections'!$B5</f>
        <v>6426213.1124010561</v>
      </c>
      <c r="E26" s="62">
        <f>E25*'Economic Projections'!$B6/'Economic Projections'!$B5</f>
        <v>4292371.4976253305</v>
      </c>
      <c r="F26" s="62">
        <f>F25*'Economic Projections'!$B6/'Economic Projections'!$B5</f>
        <v>5088632.3398416899</v>
      </c>
      <c r="G26" s="62">
        <f>G25*'Economic Projections'!$B6/'Economic Projections'!$B5</f>
        <v>1029876.1773087073</v>
      </c>
      <c r="H26" s="62">
        <f>H25*'Economic Projections'!$B6/'Economic Projections'!$B5</f>
        <v>1290735.4258575202</v>
      </c>
      <c r="I26" s="62">
        <f>I25*'Economic Projections'!$B6/'Economic Projections'!$B5</f>
        <v>313732.983641161</v>
      </c>
      <c r="J26" s="62"/>
      <c r="K26" s="193">
        <v>2023</v>
      </c>
      <c r="L26" s="62">
        <f>L25*'Economic Projections'!$C6/'Economic Projections'!$C5</f>
        <v>6468004.5256241793</v>
      </c>
      <c r="M26" s="62">
        <f>M25*'Economic Projections'!$C6/'Economic Projections'!$C5</f>
        <v>4320285.9579500668</v>
      </c>
      <c r="N26" s="62">
        <f>N25*'Economic Projections'!$C6/'Economic Projections'!$C5</f>
        <v>5121725.1011826554</v>
      </c>
      <c r="O26" s="62">
        <f>O25*'Economic Projections'!$C6/'Economic Projections'!$C5</f>
        <v>1036573.7424441526</v>
      </c>
      <c r="P26" s="62">
        <f>P25*'Economic Projections'!$C6/'Economic Projections'!$C5</f>
        <v>1299129.4296977662</v>
      </c>
      <c r="Q26" s="62">
        <f>Q25*'Economic Projections'!$C6/'Economic Projections'!$C5</f>
        <v>315773.27463863342</v>
      </c>
      <c r="R26" s="62"/>
      <c r="S26" s="193">
        <v>2023</v>
      </c>
      <c r="T26" s="62">
        <f>T25*'Economic Projections'!$D6/'Economic Projections'!$D5</f>
        <v>6505428.4083116893</v>
      </c>
      <c r="U26" s="62">
        <f>U25*'Economic Projections'!$D6/'Economic Projections'!$D5</f>
        <v>4345283.1381818186</v>
      </c>
      <c r="V26" s="62">
        <f>V25*'Economic Projections'!$D6/'Economic Projections'!$D5</f>
        <v>5151359.4093506504</v>
      </c>
      <c r="W26" s="62">
        <f>W25*'Economic Projections'!$D6/'Economic Projections'!$D5</f>
        <v>1042571.3594805198</v>
      </c>
      <c r="X26" s="62">
        <f>X25*'Economic Projections'!$D6/'Economic Projections'!$D5</f>
        <v>1306646.1942857145</v>
      </c>
      <c r="Y26" s="62">
        <f>Y25*'Economic Projections'!$D6/'Economic Projections'!$D5</f>
        <v>317600.33922077925</v>
      </c>
      <c r="AA26" s="193">
        <v>2023</v>
      </c>
      <c r="AB26" s="62">
        <f>AB25*'Economic Projections'!$E6/'Economic Projections'!$E5</f>
        <v>6431700.8741721865</v>
      </c>
      <c r="AC26" s="62">
        <f>AC25*'Economic Projections'!$E6/'Economic Projections'!$E5</f>
        <v>4296037.0331125828</v>
      </c>
      <c r="AD26" s="62">
        <f>AD25*'Economic Projections'!$E6/'Economic Projections'!$E5</f>
        <v>5092977.854304635</v>
      </c>
      <c r="AE26" s="62">
        <f>AE25*'Economic Projections'!$E6/'Economic Projections'!$E5</f>
        <v>1030755.6556291392</v>
      </c>
      <c r="AF26" s="62">
        <f>AF25*'Economic Projections'!$E6/'Economic Projections'!$E5</f>
        <v>1291837.6688741725</v>
      </c>
      <c r="AG26" s="62">
        <f>AG25*'Economic Projections'!$E6/'Economic Projections'!$E5</f>
        <v>314000.90066225175</v>
      </c>
    </row>
    <row r="27" spans="1:33">
      <c r="A27" s="260"/>
      <c r="B27" s="261"/>
      <c r="C27" s="193">
        <v>2024</v>
      </c>
      <c r="D27" s="62">
        <f>D26*'Economic Projections'!$B7/'Economic Projections'!$B6</f>
        <v>6466148.1498680748</v>
      </c>
      <c r="E27" s="62">
        <f>E26*'Economic Projections'!$B7/'Economic Projections'!$B6</f>
        <v>4319045.9968337743</v>
      </c>
      <c r="F27" s="62">
        <f>F26*'Economic Projections'!$B7/'Economic Projections'!$B6</f>
        <v>5120255.1197889196</v>
      </c>
      <c r="G27" s="62">
        <f>G26*'Economic Projections'!$B7/'Economic Projections'!$B6</f>
        <v>1036276.2364116097</v>
      </c>
      <c r="H27" s="62">
        <f>H26*'Economic Projections'!$B7/'Economic Projections'!$B6</f>
        <v>1298756.5678100269</v>
      </c>
      <c r="I27" s="62">
        <f>I26*'Economic Projections'!$B7/'Economic Projections'!$B6</f>
        <v>315682.64485488134</v>
      </c>
      <c r="K27" s="193">
        <v>2024</v>
      </c>
      <c r="L27" s="62">
        <f>L26*'Economic Projections'!$C7/'Economic Projections'!$C6</f>
        <v>6521870.0341655724</v>
      </c>
      <c r="M27" s="62">
        <f>M26*'Economic Projections'!$C7/'Economic Projections'!$C6</f>
        <v>4356265.2772667548</v>
      </c>
      <c r="N27" s="62">
        <f>N26*'Economic Projections'!$C7/'Economic Projections'!$C6</f>
        <v>5164378.8015768733</v>
      </c>
      <c r="O27" s="62">
        <f>O26*'Economic Projections'!$C7/'Economic Projections'!$C6</f>
        <v>1045206.32325887</v>
      </c>
      <c r="P27" s="62">
        <f>P26*'Economic Projections'!$C7/'Economic Projections'!$C6</f>
        <v>1309948.5729303549</v>
      </c>
      <c r="Q27" s="62">
        <f>Q26*'Economic Projections'!$C7/'Economic Projections'!$C6</f>
        <v>318403.03285151126</v>
      </c>
      <c r="R27" s="62"/>
      <c r="S27" s="193">
        <v>2024</v>
      </c>
      <c r="T27" s="62">
        <f>T26*'Economic Projections'!$D7/'Economic Projections'!$D6</f>
        <v>6571768.5444155857</v>
      </c>
      <c r="U27" s="62">
        <f>U26*'Economic Projections'!$D7/'Economic Projections'!$D6</f>
        <v>4389594.8509090925</v>
      </c>
      <c r="V27" s="62">
        <f>V26*'Economic Projections'!$D7/'Economic Projections'!$D6</f>
        <v>5203891.2124675335</v>
      </c>
      <c r="W27" s="62">
        <f>W26*'Economic Projections'!$D7/'Economic Projections'!$D6</f>
        <v>1053203.1459740265</v>
      </c>
      <c r="X27" s="62">
        <f>X26*'Economic Projections'!$D7/'Economic Projections'!$D6</f>
        <v>1319970.925714286</v>
      </c>
      <c r="Y27" s="62">
        <f>Y26*'Economic Projections'!$D7/'Economic Projections'!$D6</f>
        <v>320839.118961039</v>
      </c>
      <c r="AA27" s="193">
        <v>2024</v>
      </c>
      <c r="AB27" s="62">
        <f>AB26*'Economic Projections'!$E7/'Economic Projections'!$E6</f>
        <v>6473465.1655629156</v>
      </c>
      <c r="AC27" s="62">
        <f>AC26*'Economic Projections'!$E7/'Economic Projections'!$E6</f>
        <v>4323933.3774834434</v>
      </c>
      <c r="AD27" s="62">
        <f>AD26*'Economic Projections'!$E7/'Economic Projections'!$E6</f>
        <v>5126049.1390728466</v>
      </c>
      <c r="AE27" s="62">
        <f>AE26*'Economic Projections'!$E7/'Economic Projections'!$E6</f>
        <v>1037448.8741721854</v>
      </c>
      <c r="AF27" s="62">
        <f>AF26*'Economic Projections'!$E7/'Economic Projections'!$E6</f>
        <v>1300226.2251655634</v>
      </c>
      <c r="AG27" s="62">
        <f>AG26*'Economic Projections'!$E7/'Economic Projections'!$E6</f>
        <v>316039.867549669</v>
      </c>
    </row>
    <row r="28" spans="1:33">
      <c r="A28" s="260"/>
      <c r="B28" s="261"/>
      <c r="C28" s="193">
        <v>2025</v>
      </c>
      <c r="D28" s="62">
        <f>D27*'Economic Projections'!$B8/'Economic Projections'!$B7</f>
        <v>6506083.1873350935</v>
      </c>
      <c r="E28" s="62">
        <f>E27*'Economic Projections'!$B8/'Economic Projections'!$B7</f>
        <v>4345720.4960422171</v>
      </c>
      <c r="F28" s="62">
        <f>F27*'Economic Projections'!$B8/'Economic Projections'!$B7</f>
        <v>5151877.8997361492</v>
      </c>
      <c r="G28" s="62">
        <f>G27*'Economic Projections'!$B8/'Economic Projections'!$B7</f>
        <v>1042676.295514512</v>
      </c>
      <c r="H28" s="62">
        <f>H27*'Economic Projections'!$B8/'Economic Projections'!$B7</f>
        <v>1306777.7097625334</v>
      </c>
      <c r="I28" s="62">
        <f>I27*'Economic Projections'!$B8/'Economic Projections'!$B7</f>
        <v>317632.30606860167</v>
      </c>
      <c r="K28" s="193">
        <v>2025</v>
      </c>
      <c r="L28" s="62">
        <f>L27*'Economic Projections'!$C8/'Economic Projections'!$C7</f>
        <v>6575735.5427069655</v>
      </c>
      <c r="M28" s="62">
        <f>M27*'Economic Projections'!$C8/'Economic Projections'!$C7</f>
        <v>4392244.5965834437</v>
      </c>
      <c r="N28" s="62">
        <f>N27*'Economic Projections'!$C8/'Economic Projections'!$C7</f>
        <v>5207032.5019710921</v>
      </c>
      <c r="O28" s="62">
        <f>O27*'Economic Projections'!$C8/'Economic Projections'!$C7</f>
        <v>1053838.9040735874</v>
      </c>
      <c r="P28" s="62">
        <f>P27*'Economic Projections'!$C8/'Economic Projections'!$C7</f>
        <v>1320767.7161629435</v>
      </c>
      <c r="Q28" s="62">
        <f>Q27*'Economic Projections'!$C8/'Economic Projections'!$C7</f>
        <v>321032.79106438905</v>
      </c>
      <c r="R28" s="62"/>
      <c r="S28" s="193">
        <v>2025</v>
      </c>
      <c r="T28" s="62">
        <f>T27*'Economic Projections'!$D8/'Economic Projections'!$D7</f>
        <v>6638108.6805194821</v>
      </c>
      <c r="U28" s="62">
        <f>U27*'Economic Projections'!$D8/'Economic Projections'!$D7</f>
        <v>4433906.5636363663</v>
      </c>
      <c r="V28" s="62">
        <f>V27*'Economic Projections'!$D8/'Economic Projections'!$D7</f>
        <v>5256423.0155844176</v>
      </c>
      <c r="W28" s="62">
        <f>W27*'Economic Projections'!$D8/'Economic Projections'!$D7</f>
        <v>1063834.9324675333</v>
      </c>
      <c r="X28" s="62">
        <f>X27*'Economic Projections'!$D8/'Economic Projections'!$D7</f>
        <v>1333295.6571428576</v>
      </c>
      <c r="Y28" s="62">
        <f>Y27*'Economic Projections'!$D8/'Economic Projections'!$D7</f>
        <v>324077.89870129875</v>
      </c>
      <c r="AA28" s="193">
        <v>2025</v>
      </c>
      <c r="AB28" s="62">
        <f>AB27*'Economic Projections'!$E8/'Economic Projections'!$E7</f>
        <v>6515229.4569536448</v>
      </c>
      <c r="AC28" s="62">
        <f>AC27*'Economic Projections'!$E8/'Economic Projections'!$E7</f>
        <v>4351829.7218543049</v>
      </c>
      <c r="AD28" s="62">
        <f>AD27*'Economic Projections'!$E8/'Economic Projections'!$E7</f>
        <v>5159120.4238410583</v>
      </c>
      <c r="AE28" s="62">
        <f>AE27*'Economic Projections'!$E8/'Economic Projections'!$E7</f>
        <v>1044142.0927152319</v>
      </c>
      <c r="AF28" s="62">
        <f>AF27*'Economic Projections'!$E8/'Economic Projections'!$E7</f>
        <v>1308614.7814569543</v>
      </c>
      <c r="AG28" s="62">
        <f>AG27*'Economic Projections'!$E8/'Economic Projections'!$E7</f>
        <v>318078.83443708625</v>
      </c>
    </row>
    <row r="29" spans="1:33">
      <c r="A29" s="260"/>
      <c r="B29" s="261"/>
      <c r="C29" s="193">
        <v>2026</v>
      </c>
      <c r="D29" s="62">
        <f>D28*'Economic Projections'!$B9/'Economic Projections'!$B8</f>
        <v>6546018.2248021122</v>
      </c>
      <c r="E29" s="62">
        <f>E28*'Economic Projections'!$B9/'Economic Projections'!$B8</f>
        <v>4372394.99525066</v>
      </c>
      <c r="F29" s="62">
        <f>F28*'Economic Projections'!$B9/'Economic Projections'!$B8</f>
        <v>5183500.6796833798</v>
      </c>
      <c r="G29" s="62">
        <f>G28*'Economic Projections'!$B9/'Economic Projections'!$B8</f>
        <v>1049076.3546174145</v>
      </c>
      <c r="H29" s="62">
        <f>H28*'Economic Projections'!$B9/'Economic Projections'!$B8</f>
        <v>1314798.8517150399</v>
      </c>
      <c r="I29" s="62">
        <f>I28*'Economic Projections'!$B9/'Economic Projections'!$B8</f>
        <v>319581.967282322</v>
      </c>
      <c r="K29" s="193">
        <v>2026</v>
      </c>
      <c r="L29" s="62">
        <f>L28*'Economic Projections'!$C9/'Economic Projections'!$C8</f>
        <v>6629601.0512483586</v>
      </c>
      <c r="M29" s="62">
        <f>M28*'Economic Projections'!$C9/'Economic Projections'!$C8</f>
        <v>4428223.9159001326</v>
      </c>
      <c r="N29" s="62">
        <f>N28*'Economic Projections'!$C9/'Economic Projections'!$C8</f>
        <v>5249686.2023653099</v>
      </c>
      <c r="O29" s="62">
        <f>O28*'Economic Projections'!$C9/'Economic Projections'!$C8</f>
        <v>1062471.4848883047</v>
      </c>
      <c r="P29" s="62">
        <f>P28*'Economic Projections'!$C9/'Economic Projections'!$C8</f>
        <v>1331586.8593955324</v>
      </c>
      <c r="Q29" s="62">
        <f>Q28*'Economic Projections'!$C9/'Economic Projections'!$C8</f>
        <v>323662.54927726684</v>
      </c>
      <c r="R29" s="62"/>
      <c r="S29" s="193">
        <v>2026</v>
      </c>
      <c r="T29" s="62">
        <f>T28*'Economic Projections'!$D9/'Economic Projections'!$D8</f>
        <v>6704448.8166233785</v>
      </c>
      <c r="U29" s="62">
        <f>U28*'Economic Projections'!$D9/'Economic Projections'!$D8</f>
        <v>4478218.2763636392</v>
      </c>
      <c r="V29" s="62">
        <f>V28*'Economic Projections'!$D9/'Economic Projections'!$D8</f>
        <v>5308954.8187013008</v>
      </c>
      <c r="W29" s="62">
        <f>W28*'Economic Projections'!$D9/'Economic Projections'!$D8</f>
        <v>1074466.7189610398</v>
      </c>
      <c r="X29" s="62">
        <f>X28*'Economic Projections'!$D9/'Economic Projections'!$D8</f>
        <v>1346620.3885714291</v>
      </c>
      <c r="Y29" s="62">
        <f>Y28*'Economic Projections'!$D9/'Economic Projections'!$D8</f>
        <v>327316.6784415585</v>
      </c>
      <c r="AA29" s="193">
        <v>2026</v>
      </c>
      <c r="AB29" s="62">
        <f>AB28*'Economic Projections'!$E9/'Economic Projections'!$E8</f>
        <v>6556993.7483443739</v>
      </c>
      <c r="AC29" s="62">
        <f>AC28*'Economic Projections'!$E9/'Economic Projections'!$E8</f>
        <v>4379726.0662251655</v>
      </c>
      <c r="AD29" s="62">
        <f>AD28*'Economic Projections'!$E9/'Economic Projections'!$E8</f>
        <v>5192191.7086092709</v>
      </c>
      <c r="AE29" s="62">
        <f>AE28*'Economic Projections'!$E9/'Economic Projections'!$E8</f>
        <v>1050835.3112582783</v>
      </c>
      <c r="AF29" s="62">
        <f>AF28*'Economic Projections'!$E9/'Economic Projections'!$E8</f>
        <v>1317003.3377483452</v>
      </c>
      <c r="AG29" s="62">
        <f>AG28*'Economic Projections'!$E9/'Economic Projections'!$E8</f>
        <v>320117.8013245035</v>
      </c>
    </row>
    <row r="30" spans="1:33">
      <c r="A30" s="260"/>
      <c r="B30" s="261"/>
      <c r="C30" s="193">
        <v>2027</v>
      </c>
      <c r="D30" s="62">
        <f>D29*'Economic Projections'!$B10/'Economic Projections'!$B9</f>
        <v>6585953.2622691309</v>
      </c>
      <c r="E30" s="62">
        <f>E29*'Economic Projections'!$B10/'Economic Projections'!$B9</f>
        <v>4399069.4944591029</v>
      </c>
      <c r="F30" s="62">
        <f>F29*'Economic Projections'!$B10/'Economic Projections'!$B9</f>
        <v>5215123.4596306095</v>
      </c>
      <c r="G30" s="62">
        <f>G29*'Economic Projections'!$B10/'Economic Projections'!$B9</f>
        <v>1055476.413720317</v>
      </c>
      <c r="H30" s="62">
        <f>H29*'Economic Projections'!$B10/'Economic Projections'!$B9</f>
        <v>1322819.9936675464</v>
      </c>
      <c r="I30" s="62">
        <f>I29*'Economic Projections'!$B10/'Economic Projections'!$B9</f>
        <v>321531.62849604234</v>
      </c>
      <c r="K30" s="193">
        <v>2027</v>
      </c>
      <c r="L30" s="62">
        <f>L29*'Economic Projections'!$C10/'Economic Projections'!$C9</f>
        <v>6683466.5597897517</v>
      </c>
      <c r="M30" s="62">
        <f>M29*'Economic Projections'!$C10/'Economic Projections'!$C9</f>
        <v>4464203.2352168206</v>
      </c>
      <c r="N30" s="62">
        <f>N29*'Economic Projections'!$C10/'Economic Projections'!$C9</f>
        <v>5292339.9027595287</v>
      </c>
      <c r="O30" s="62">
        <f>O29*'Economic Projections'!$C10/'Economic Projections'!$C9</f>
        <v>1071104.0657030223</v>
      </c>
      <c r="P30" s="62">
        <f>P29*'Economic Projections'!$C10/'Economic Projections'!$C9</f>
        <v>1342406.0026281211</v>
      </c>
      <c r="Q30" s="62">
        <f>Q29*'Economic Projections'!$C10/'Economic Projections'!$C9</f>
        <v>326292.30749014462</v>
      </c>
      <c r="R30" s="62"/>
      <c r="S30" s="193">
        <v>2027</v>
      </c>
      <c r="T30" s="62">
        <f>T29*'Economic Projections'!$D10/'Economic Projections'!$D9</f>
        <v>6770788.952727275</v>
      </c>
      <c r="U30" s="62">
        <f>U29*'Economic Projections'!$D10/'Economic Projections'!$D9</f>
        <v>4522529.989090912</v>
      </c>
      <c r="V30" s="62">
        <f>V29*'Economic Projections'!$D10/'Economic Projections'!$D9</f>
        <v>5361486.6218181839</v>
      </c>
      <c r="W30" s="62">
        <f>W29*'Economic Projections'!$D10/'Economic Projections'!$D9</f>
        <v>1085098.5054545463</v>
      </c>
      <c r="X30" s="62">
        <f>X29*'Economic Projections'!$D10/'Economic Projections'!$D9</f>
        <v>1359945.1200000006</v>
      </c>
      <c r="Y30" s="62">
        <f>Y29*'Economic Projections'!$D10/'Economic Projections'!$D9</f>
        <v>330555.45818181831</v>
      </c>
      <c r="AA30" s="193">
        <v>2027</v>
      </c>
      <c r="AB30" s="62">
        <f>AB29*'Economic Projections'!$E10/'Economic Projections'!$E9</f>
        <v>6598758.039735103</v>
      </c>
      <c r="AC30" s="62">
        <f>AC29*'Economic Projections'!$E10/'Economic Projections'!$E9</f>
        <v>4407622.410596027</v>
      </c>
      <c r="AD30" s="62">
        <f>AD29*'Economic Projections'!$E10/'Economic Projections'!$E9</f>
        <v>5225262.9933774834</v>
      </c>
      <c r="AE30" s="62">
        <f>AE29*'Economic Projections'!$E10/'Economic Projections'!$E9</f>
        <v>1057528.5298013247</v>
      </c>
      <c r="AF30" s="62">
        <f>AF29*'Economic Projections'!$E10/'Economic Projections'!$E9</f>
        <v>1325391.8940397359</v>
      </c>
      <c r="AG30" s="62">
        <f>AG29*'Economic Projections'!$E10/'Economic Projections'!$E9</f>
        <v>322156.76821192075</v>
      </c>
    </row>
    <row r="31" spans="1:33">
      <c r="A31" s="260"/>
      <c r="B31" s="261"/>
      <c r="C31" s="193">
        <v>2028</v>
      </c>
      <c r="D31" s="62">
        <f>D30*'Economic Projections'!$B11/'Economic Projections'!$B10</f>
        <v>6625888.2997361496</v>
      </c>
      <c r="E31" s="62">
        <f>E30*'Economic Projections'!$B11/'Economic Projections'!$B10</f>
        <v>4425743.9936675467</v>
      </c>
      <c r="F31" s="62">
        <f>F30*'Economic Projections'!$B11/'Economic Projections'!$B10</f>
        <v>5246746.2395778401</v>
      </c>
      <c r="G31" s="62">
        <f>G30*'Economic Projections'!$B11/'Economic Projections'!$B10</f>
        <v>1061876.4728232194</v>
      </c>
      <c r="H31" s="62">
        <f>H30*'Economic Projections'!$B11/'Economic Projections'!$B10</f>
        <v>1330841.1356200532</v>
      </c>
      <c r="I31" s="62">
        <f>I30*'Economic Projections'!$B11/'Economic Projections'!$B10</f>
        <v>323481.28970976267</v>
      </c>
      <c r="K31" s="193">
        <v>2028</v>
      </c>
      <c r="L31" s="62">
        <f>L30*'Economic Projections'!$C11/'Economic Projections'!$C10</f>
        <v>6737332.0683311448</v>
      </c>
      <c r="M31" s="62">
        <f>M30*'Economic Projections'!$C11/'Economic Projections'!$C10</f>
        <v>4500182.5545335095</v>
      </c>
      <c r="N31" s="62">
        <f>N30*'Economic Projections'!$C11/'Economic Projections'!$C10</f>
        <v>5334993.6031537466</v>
      </c>
      <c r="O31" s="62">
        <f>O30*'Economic Projections'!$C11/'Economic Projections'!$C10</f>
        <v>1079736.6465177399</v>
      </c>
      <c r="P31" s="62">
        <f>P30*'Economic Projections'!$C11/'Economic Projections'!$C10</f>
        <v>1353225.1458607097</v>
      </c>
      <c r="Q31" s="62">
        <f>Q30*'Economic Projections'!$C11/'Economic Projections'!$C10</f>
        <v>328922.06570302241</v>
      </c>
      <c r="R31" s="62"/>
      <c r="S31" s="193">
        <v>2028</v>
      </c>
      <c r="T31" s="62">
        <f>T30*'Economic Projections'!$D11/'Economic Projections'!$D10</f>
        <v>6837129.0888311714</v>
      </c>
      <c r="U31" s="62">
        <f>U30*'Economic Projections'!$D11/'Economic Projections'!$D10</f>
        <v>4566841.7018181849</v>
      </c>
      <c r="V31" s="62">
        <f>V30*'Economic Projections'!$D11/'Economic Projections'!$D10</f>
        <v>5414018.4249350671</v>
      </c>
      <c r="W31" s="62">
        <f>W30*'Economic Projections'!$D11/'Economic Projections'!$D10</f>
        <v>1095730.2919480528</v>
      </c>
      <c r="X31" s="62">
        <f>X30*'Economic Projections'!$D11/'Economic Projections'!$D10</f>
        <v>1373269.8514285721</v>
      </c>
      <c r="Y31" s="62">
        <f>Y30*'Economic Projections'!$D11/'Economic Projections'!$D10</f>
        <v>333794.23792207806</v>
      </c>
      <c r="AA31" s="193">
        <v>2028</v>
      </c>
      <c r="AB31" s="62">
        <f>AB30*'Economic Projections'!$E11/'Economic Projections'!$E10</f>
        <v>6640522.3311258312</v>
      </c>
      <c r="AC31" s="62">
        <f>AC30*'Economic Projections'!$E11/'Economic Projections'!$E10</f>
        <v>4435518.7549668876</v>
      </c>
      <c r="AD31" s="62">
        <f>AD30*'Economic Projections'!$E11/'Economic Projections'!$E10</f>
        <v>5258334.278145696</v>
      </c>
      <c r="AE31" s="62">
        <f>AE30*'Economic Projections'!$E11/'Economic Projections'!$E10</f>
        <v>1064221.7483443711</v>
      </c>
      <c r="AF31" s="62">
        <f>AF30*'Economic Projections'!$E11/'Economic Projections'!$E10</f>
        <v>1333780.4503311268</v>
      </c>
      <c r="AG31" s="62">
        <f>AG30*'Economic Projections'!$E11/'Economic Projections'!$E10</f>
        <v>324195.735099338</v>
      </c>
    </row>
    <row r="32" spans="1:33">
      <c r="A32" s="260"/>
      <c r="B32" s="261"/>
      <c r="C32" s="193">
        <v>2029</v>
      </c>
      <c r="D32" s="62">
        <f>D31*'Economic Projections'!$B12/'Economic Projections'!$B11</f>
        <v>6665823.3372031683</v>
      </c>
      <c r="E32" s="62">
        <f>E31*'Economic Projections'!$B12/'Economic Projections'!$B11</f>
        <v>4452418.4928759905</v>
      </c>
      <c r="F32" s="62">
        <f>F31*'Economic Projections'!$B12/'Economic Projections'!$B11</f>
        <v>5278369.0195250697</v>
      </c>
      <c r="G32" s="62">
        <f>G31*'Economic Projections'!$B12/'Economic Projections'!$B11</f>
        <v>1068276.5319261218</v>
      </c>
      <c r="H32" s="62">
        <f>H31*'Economic Projections'!$B12/'Economic Projections'!$B11</f>
        <v>1338862.2775725599</v>
      </c>
      <c r="I32" s="62">
        <f>I31*'Economic Projections'!$B12/'Economic Projections'!$B11</f>
        <v>325430.950923483</v>
      </c>
      <c r="K32" s="193">
        <v>2029</v>
      </c>
      <c r="L32" s="62">
        <f>L31*'Economic Projections'!$C12/'Economic Projections'!$C11</f>
        <v>6791197.5768725378</v>
      </c>
      <c r="M32" s="62">
        <f>M31*'Economic Projections'!$C12/'Economic Projections'!$C11</f>
        <v>4536161.8738501985</v>
      </c>
      <c r="N32" s="62">
        <f>N31*'Economic Projections'!$C12/'Economic Projections'!$C11</f>
        <v>5377647.3035479654</v>
      </c>
      <c r="O32" s="62">
        <f>O31*'Economic Projections'!$C12/'Economic Projections'!$C11</f>
        <v>1088369.2273324574</v>
      </c>
      <c r="P32" s="62">
        <f>P31*'Economic Projections'!$C12/'Economic Projections'!$C11</f>
        <v>1364044.2890932984</v>
      </c>
      <c r="Q32" s="62">
        <f>Q31*'Economic Projections'!$C12/'Economic Projections'!$C11</f>
        <v>331551.8239159002</v>
      </c>
      <c r="R32" s="62"/>
      <c r="S32" s="193">
        <v>2029</v>
      </c>
      <c r="T32" s="62">
        <f>T31*'Economic Projections'!$D12/'Economic Projections'!$D11</f>
        <v>6903469.2249350687</v>
      </c>
      <c r="U32" s="62">
        <f>U31*'Economic Projections'!$D12/'Economic Projections'!$D11</f>
        <v>4611153.4145454587</v>
      </c>
      <c r="V32" s="62">
        <f>V31*'Economic Projections'!$D12/'Economic Projections'!$D11</f>
        <v>5466550.2280519502</v>
      </c>
      <c r="W32" s="62">
        <f>W31*'Economic Projections'!$D12/'Economic Projections'!$D11</f>
        <v>1106362.0784415593</v>
      </c>
      <c r="X32" s="62">
        <f>X31*'Economic Projections'!$D12/'Economic Projections'!$D11</f>
        <v>1386594.5828571436</v>
      </c>
      <c r="Y32" s="62">
        <f>Y31*'Economic Projections'!$D12/'Economic Projections'!$D11</f>
        <v>337033.01766233781</v>
      </c>
      <c r="AA32" s="193">
        <v>2029</v>
      </c>
      <c r="AB32" s="62">
        <f>AB31*'Economic Projections'!$E12/'Economic Projections'!$E11</f>
        <v>6682286.6225165594</v>
      </c>
      <c r="AC32" s="62">
        <f>AC31*'Economic Projections'!$E12/'Economic Projections'!$E11</f>
        <v>4463415.0993377483</v>
      </c>
      <c r="AD32" s="62">
        <f>AD31*'Economic Projections'!$E12/'Economic Projections'!$E11</f>
        <v>5291405.5629139086</v>
      </c>
      <c r="AE32" s="62">
        <f>AE31*'Economic Projections'!$E12/'Economic Projections'!$E11</f>
        <v>1070914.9668874175</v>
      </c>
      <c r="AF32" s="62">
        <f>AF31*'Economic Projections'!$E12/'Economic Projections'!$E11</f>
        <v>1342169.0066225175</v>
      </c>
      <c r="AG32" s="62">
        <f>AG31*'Economic Projections'!$E12/'Economic Projections'!$E11</f>
        <v>326234.70198675524</v>
      </c>
    </row>
    <row r="33" spans="1:33">
      <c r="A33" s="260"/>
      <c r="B33" s="261"/>
      <c r="C33" s="193">
        <v>2030</v>
      </c>
      <c r="D33" s="62">
        <f>D32*'Economic Projections'!$B13/'Economic Projections'!$B12</f>
        <v>6705758.3746701842</v>
      </c>
      <c r="E33" s="62">
        <f>E32*'Economic Projections'!$B13/'Economic Projections'!$B12</f>
        <v>4479092.9920844315</v>
      </c>
      <c r="F33" s="62">
        <f>F32*'Economic Projections'!$B13/'Economic Projections'!$B12</f>
        <v>5309991.7994722966</v>
      </c>
      <c r="G33" s="62">
        <f>G32*'Economic Projections'!$B13/'Economic Projections'!$B12</f>
        <v>1074676.5910290238</v>
      </c>
      <c r="H33" s="62">
        <f>H32*'Economic Projections'!$B13/'Economic Projections'!$B12</f>
        <v>1346883.4195250659</v>
      </c>
      <c r="I33" s="62">
        <f>I32*'Economic Projections'!$B13/'Economic Projections'!$B12</f>
        <v>327380.61213720316</v>
      </c>
      <c r="K33" s="193">
        <v>2030</v>
      </c>
      <c r="L33" s="62">
        <f>L32*'Economic Projections'!$C13/'Economic Projections'!$C12</f>
        <v>6845063.0854139281</v>
      </c>
      <c r="M33" s="62">
        <f>M32*'Economic Projections'!$C13/'Economic Projections'!$C12</f>
        <v>4572141.1931668855</v>
      </c>
      <c r="N33" s="62">
        <f>N32*'Economic Projections'!$C13/'Economic Projections'!$C12</f>
        <v>5420301.0039421823</v>
      </c>
      <c r="O33" s="62">
        <f>O32*'Economic Projections'!$C13/'Economic Projections'!$C12</f>
        <v>1097001.8081471745</v>
      </c>
      <c r="P33" s="62">
        <f>P32*'Economic Projections'!$C13/'Economic Projections'!$C12</f>
        <v>1374863.4323258866</v>
      </c>
      <c r="Q33" s="62">
        <f>Q32*'Economic Projections'!$C13/'Economic Projections'!$C12</f>
        <v>334181.58212877787</v>
      </c>
      <c r="R33" s="62"/>
      <c r="S33" s="193">
        <v>2030</v>
      </c>
      <c r="T33" s="62">
        <f>T32*'Economic Projections'!$D13/'Economic Projections'!$D12</f>
        <v>6969809.3610389596</v>
      </c>
      <c r="U33" s="62">
        <f>U32*'Economic Projections'!$D13/'Economic Projections'!$D12</f>
        <v>4655465.1272727279</v>
      </c>
      <c r="V33" s="62">
        <f>V32*'Economic Projections'!$D13/'Economic Projections'!$D12</f>
        <v>5519082.0311688296</v>
      </c>
      <c r="W33" s="62">
        <f>W32*'Economic Projections'!$D13/'Economic Projections'!$D12</f>
        <v>1116993.8649350649</v>
      </c>
      <c r="X33" s="62">
        <f>X32*'Economic Projections'!$D13/'Economic Projections'!$D12</f>
        <v>1399919.3142857139</v>
      </c>
      <c r="Y33" s="62">
        <f>Y32*'Economic Projections'!$D13/'Economic Projections'!$D12</f>
        <v>340271.79740259732</v>
      </c>
      <c r="AA33" s="193">
        <v>2030</v>
      </c>
      <c r="AB33" s="62">
        <f>AB32*'Economic Projections'!$E13/'Economic Projections'!$E12</f>
        <v>6724050.9139072867</v>
      </c>
      <c r="AC33" s="62">
        <f>AC32*'Economic Projections'!$E13/'Economic Projections'!$E12</f>
        <v>4491311.4437086079</v>
      </c>
      <c r="AD33" s="62">
        <f>AD32*'Economic Projections'!$E13/'Economic Projections'!$E12</f>
        <v>5324476.8476821193</v>
      </c>
      <c r="AE33" s="62">
        <f>AE32*'Economic Projections'!$E13/'Economic Projections'!$E12</f>
        <v>1077608.1854304636</v>
      </c>
      <c r="AF33" s="62">
        <f>AF32*'Economic Projections'!$E13/'Economic Projections'!$E12</f>
        <v>1350557.5629139079</v>
      </c>
      <c r="AG33" s="62">
        <f>AG32*'Economic Projections'!$E13/'Economic Projections'!$E12</f>
        <v>328273.66887417238</v>
      </c>
    </row>
    <row r="34" spans="1:33">
      <c r="A34" s="260"/>
      <c r="B34" s="261"/>
      <c r="C34" s="193">
        <v>2040</v>
      </c>
      <c r="D34" s="62">
        <f>D33*'Economic Projections'!$B14/'Economic Projections'!$B13</f>
        <v>6980311.757255937</v>
      </c>
      <c r="E34" s="62">
        <f>E33*'Economic Projections'!$B14/'Economic Projections'!$B13</f>
        <v>4662480.1741424799</v>
      </c>
      <c r="F34" s="62">
        <f>F33*'Economic Projections'!$B14/'Economic Projections'!$B13</f>
        <v>5527398.4116095006</v>
      </c>
      <c r="G34" s="62">
        <f>G33*'Economic Projections'!$B14/'Economic Projections'!$B13</f>
        <v>1118676.9973614777</v>
      </c>
      <c r="H34" s="62">
        <f>H33*'Economic Projections'!$B14/'Economic Projections'!$B13</f>
        <v>1402028.770448549</v>
      </c>
      <c r="I34" s="62">
        <f>I33*'Economic Projections'!$B14/'Economic Projections'!$B13</f>
        <v>340784.53298153041</v>
      </c>
      <c r="K34" s="193">
        <v>2040</v>
      </c>
      <c r="L34" s="62">
        <f>L33*'Economic Projections'!$C14/'Economic Projections'!$C13</f>
        <v>7284274.1550591309</v>
      </c>
      <c r="M34" s="62">
        <f>M33*'Economic Projections'!$C14/'Economic Projections'!$C13</f>
        <v>4865511.0275952686</v>
      </c>
      <c r="N34" s="62">
        <f>N33*'Economic Projections'!$C14/'Economic Projections'!$C13</f>
        <v>5768092.7148488835</v>
      </c>
      <c r="O34" s="62">
        <f>O33*'Economic Projections'!$C14/'Economic Projections'!$C13</f>
        <v>1167390.5440210246</v>
      </c>
      <c r="P34" s="62">
        <f>P33*'Economic Projections'!$C14/'Economic Projections'!$C13</f>
        <v>1463081.0617608402</v>
      </c>
      <c r="Q34" s="62">
        <f>Q33*'Economic Projections'!$C14/'Economic Projections'!$C13</f>
        <v>355624.22601839673</v>
      </c>
      <c r="R34" s="62"/>
      <c r="S34" s="193">
        <v>2040</v>
      </c>
      <c r="T34" s="62">
        <f>T33*'Economic Projections'!$D14/'Economic Projections'!$D13</f>
        <v>7584069.8805194795</v>
      </c>
      <c r="U34" s="62">
        <f>U33*'Economic Projections'!$D14/'Economic Projections'!$D13</f>
        <v>5065758.7636363646</v>
      </c>
      <c r="V34" s="62">
        <f>V33*'Economic Projections'!$D14/'Economic Projections'!$D13</f>
        <v>6005487.6155844145</v>
      </c>
      <c r="W34" s="62">
        <f>W33*'Economic Projections'!$D14/'Economic Projections'!$D13</f>
        <v>1215436.3324675325</v>
      </c>
      <c r="X34" s="62">
        <f>X33*'Economic Projections'!$D14/'Economic Projections'!$D13</f>
        <v>1523296.4571428569</v>
      </c>
      <c r="Y34" s="62">
        <f>Y33*'Economic Projections'!$D14/'Economic Projections'!$D13</f>
        <v>370260.49870129861</v>
      </c>
      <c r="AA34" s="193">
        <v>2040</v>
      </c>
      <c r="AB34" s="62">
        <f>AB33*'Economic Projections'!$E14/'Economic Projections'!$E13</f>
        <v>7016400.953642386</v>
      </c>
      <c r="AC34" s="62">
        <f>AC33*'Economic Projections'!$E14/'Economic Projections'!$E13</f>
        <v>4686585.854304634</v>
      </c>
      <c r="AD34" s="62">
        <f>AD33*'Economic Projections'!$E14/'Economic Projections'!$E13</f>
        <v>5555975.8410596028</v>
      </c>
      <c r="AE34" s="62">
        <f>AE33*'Economic Projections'!$E14/'Economic Projections'!$E13</f>
        <v>1124460.7152317883</v>
      </c>
      <c r="AF34" s="62">
        <f>AF33*'Economic Projections'!$E14/'Economic Projections'!$E13</f>
        <v>1409277.4569536431</v>
      </c>
      <c r="AG34" s="62">
        <f>AG33*'Economic Projections'!$E14/'Economic Projections'!$E13</f>
        <v>342546.43708609295</v>
      </c>
    </row>
    <row r="35" spans="1:33">
      <c r="A35" s="260"/>
      <c r="B35" s="261"/>
      <c r="C35" s="193">
        <v>2050</v>
      </c>
      <c r="D35" s="62">
        <f>D34*'Economic Projections'!$B15/'Economic Projections'!$B14</f>
        <v>7096788.9498680718</v>
      </c>
      <c r="E35" s="62">
        <f>E34*'Economic Projections'!$B15/'Economic Projections'!$B14</f>
        <v>4740280.7968337713</v>
      </c>
      <c r="F35" s="62">
        <f>F34*'Economic Projections'!$B15/'Economic Projections'!$B14</f>
        <v>5619631.519788919</v>
      </c>
      <c r="G35" s="62">
        <f>G34*'Economic Projections'!$B15/'Economic Projections'!$B14</f>
        <v>1137343.8364116093</v>
      </c>
      <c r="H35" s="62">
        <f>H34*'Economic Projections'!$B15/'Economic Projections'!$B14</f>
        <v>1425423.7678100262</v>
      </c>
      <c r="I35" s="62">
        <f>I34*'Economic Projections'!$B15/'Economic Projections'!$B14</f>
        <v>346471.04485488124</v>
      </c>
      <c r="J35" s="68"/>
      <c r="K35" s="193">
        <v>2050</v>
      </c>
      <c r="L35" s="62">
        <f>L34*'Economic Projections'!$C15/'Economic Projections'!$C14</f>
        <v>7599180.2049934287</v>
      </c>
      <c r="M35" s="62">
        <f>M34*'Economic Projections'!$C15/'Economic Projections'!$C14</f>
        <v>5075851.6636005258</v>
      </c>
      <c r="N35" s="62">
        <f>N34*'Economic Projections'!$C15/'Economic Projections'!$C14</f>
        <v>6017452.809461236</v>
      </c>
      <c r="O35" s="62">
        <f>O34*'Economic Projections'!$C15/'Economic Projections'!$C14</f>
        <v>1217857.9395532191</v>
      </c>
      <c r="P35" s="62">
        <f>P34*'Economic Projections'!$C15/'Economic Projections'!$C14</f>
        <v>1526331.4375821282</v>
      </c>
      <c r="Q35" s="62">
        <f>Q34*'Economic Projections'!$C15/'Economic Projections'!$C14</f>
        <v>370998.19710906694</v>
      </c>
      <c r="R35" s="62"/>
      <c r="S35" s="193">
        <v>2050</v>
      </c>
      <c r="T35" s="62">
        <f>T34*'Economic Projections'!$D15/'Economic Projections'!$D14</f>
        <v>8157379.6987012988</v>
      </c>
      <c r="U35" s="62">
        <f>U34*'Economic Projections'!$D15/'Economic Projections'!$D14</f>
        <v>5448699.4909090921</v>
      </c>
      <c r="V35" s="62">
        <f>V34*'Economic Projections'!$D15/'Economic Projections'!$D14</f>
        <v>6459466.1610389603</v>
      </c>
      <c r="W35" s="62">
        <f>W34*'Economic Projections'!$D15/'Economic Projections'!$D14</f>
        <v>1307315.968831169</v>
      </c>
      <c r="X35" s="62">
        <f>X34*'Economic Projections'!$D15/'Economic Projections'!$D14</f>
        <v>1638448.4571428569</v>
      </c>
      <c r="Y35" s="62">
        <f>Y34*'Economic Projections'!$D15/'Economic Projections'!$D14</f>
        <v>398249.9532467532</v>
      </c>
      <c r="AA35" s="193">
        <v>2050</v>
      </c>
      <c r="AB35" s="62">
        <f>AB34*'Economic Projections'!$E15/'Economic Projections'!$E14</f>
        <v>7166752.4026490077</v>
      </c>
      <c r="AC35" s="62">
        <f>AC34*'Economic Projections'!$E15/'Economic Projections'!$E14</f>
        <v>4787012.6940397322</v>
      </c>
      <c r="AD35" s="62">
        <f>AD34*'Economic Projections'!$E15/'Economic Projections'!$E14</f>
        <v>5675032.466225164</v>
      </c>
      <c r="AE35" s="62">
        <f>AE34*'Economic Projections'!$E15/'Economic Projections'!$E14</f>
        <v>1148556.3019867551</v>
      </c>
      <c r="AF35" s="62">
        <f>AF34*'Economic Projections'!$E15/'Economic Projections'!$E14</f>
        <v>1439476.2596026494</v>
      </c>
      <c r="AG35" s="62">
        <f>AG34*'Economic Projections'!$E15/'Economic Projections'!$E14</f>
        <v>349886.71788079489</v>
      </c>
    </row>
    <row r="36" spans="1:33">
      <c r="A36" s="260"/>
      <c r="B36" s="261"/>
      <c r="C36" s="193">
        <v>2060</v>
      </c>
      <c r="D36" s="62">
        <f>D35*'Economic Projections'!$B16/'Economic Projections'!$B15</f>
        <v>7063509.751978891</v>
      </c>
      <c r="E36" s="62">
        <f>E35*'Economic Projections'!$B16/'Economic Projections'!$B15</f>
        <v>4718052.0474934028</v>
      </c>
      <c r="F36" s="62">
        <f>F35*'Economic Projections'!$B16/'Economic Projections'!$B15</f>
        <v>5593279.2031662278</v>
      </c>
      <c r="G36" s="62">
        <f>G35*'Economic Projections'!$B16/'Economic Projections'!$B15</f>
        <v>1132010.4538258575</v>
      </c>
      <c r="H36" s="62">
        <f>H35*'Economic Projections'!$B16/'Economic Projections'!$B15</f>
        <v>1418739.4828496042</v>
      </c>
      <c r="I36" s="62">
        <f>I35*'Economic Projections'!$B16/'Economic Projections'!$B15</f>
        <v>344846.32717678102</v>
      </c>
      <c r="K36" s="193">
        <v>2060</v>
      </c>
      <c r="L36" s="62">
        <f>L35*'Economic Projections'!$C16/'Economic Projections'!$C15</f>
        <v>7773207.2325886982</v>
      </c>
      <c r="M36" s="62">
        <f>M35*'Economic Projections'!$C16/'Economic Projections'!$C15</f>
        <v>5192092.5413929047</v>
      </c>
      <c r="N36" s="62">
        <f>N35*'Economic Projections'!$C16/'Economic Projections'!$C15</f>
        <v>6155257.0722733261</v>
      </c>
      <c r="O36" s="62">
        <f>O35*'Economic Projections'!$C16/'Economic Projections'!$C15</f>
        <v>1245747.8160315373</v>
      </c>
      <c r="P36" s="62">
        <f>P35*'Economic Projections'!$C16/'Economic Projections'!$C15</f>
        <v>1561285.5926412612</v>
      </c>
      <c r="Q36" s="62">
        <f>Q35*'Economic Projections'!$C16/'Economic Projections'!$C15</f>
        <v>379494.33902759524</v>
      </c>
      <c r="R36" s="62"/>
      <c r="S36" s="193">
        <v>2060</v>
      </c>
      <c r="T36" s="62">
        <f>T35*'Economic Projections'!$D16/'Economic Projections'!$D15</f>
        <v>8656978.2545454558</v>
      </c>
      <c r="U36" s="62">
        <f>U35*'Economic Projections'!$D16/'Economic Projections'!$D15</f>
        <v>5782404.9818181833</v>
      </c>
      <c r="V36" s="62">
        <f>V35*'Economic Projections'!$D16/'Economic Projections'!$D15</f>
        <v>6855076.0363636361</v>
      </c>
      <c r="W36" s="62">
        <f>W35*'Economic Projections'!$D16/'Economic Projections'!$D15</f>
        <v>1387382.5090909093</v>
      </c>
      <c r="X36" s="62">
        <f>X35*'Economic Projections'!$D16/'Economic Projections'!$D15</f>
        <v>1738795.1999999997</v>
      </c>
      <c r="Y36" s="62">
        <f>Y35*'Economic Projections'!$D16/'Economic Projections'!$D15</f>
        <v>422640.76363636361</v>
      </c>
      <c r="AA36" s="193">
        <v>2060</v>
      </c>
      <c r="AB36" s="62">
        <f>AB35*'Economic Projections'!$E16/'Economic Projections'!$E15</f>
        <v>7175105.2609271538</v>
      </c>
      <c r="AC36" s="62">
        <f>AC35*'Economic Projections'!$E16/'Economic Projections'!$E15</f>
        <v>4792591.9629139043</v>
      </c>
      <c r="AD36" s="62">
        <f>AD35*'Economic Projections'!$E16/'Economic Projections'!$E15</f>
        <v>5681646.7231788067</v>
      </c>
      <c r="AE36" s="62">
        <f>AE35*'Economic Projections'!$E16/'Economic Projections'!$E15</f>
        <v>1149894.9456953644</v>
      </c>
      <c r="AF36" s="62">
        <f>AF35*'Economic Projections'!$E16/'Economic Projections'!$E15</f>
        <v>1441153.9708609276</v>
      </c>
      <c r="AG36" s="62">
        <f>AG35*'Economic Projections'!$E16/'Economic Projections'!$E15</f>
        <v>350294.51125827833</v>
      </c>
    </row>
    <row r="37" spans="1:33">
      <c r="A37" s="260"/>
      <c r="B37" s="261"/>
      <c r="C37" s="193">
        <v>2070</v>
      </c>
      <c r="D37" s="62">
        <f>D36*'Economic Projections'!$B17/'Economic Projections'!$B16</f>
        <v>6905433.5620052759</v>
      </c>
      <c r="E37" s="62">
        <f>E36*'Economic Projections'!$B17/'Economic Projections'!$B16</f>
        <v>4612465.4881266486</v>
      </c>
      <c r="F37" s="62">
        <f>F36*'Economic Projections'!$B17/'Economic Projections'!$B16</f>
        <v>5468105.699208444</v>
      </c>
      <c r="G37" s="62">
        <f>G36*'Economic Projections'!$B17/'Economic Projections'!$B16</f>
        <v>1106676.8865435356</v>
      </c>
      <c r="H37" s="62">
        <f>H36*'Economic Projections'!$B17/'Economic Projections'!$B16</f>
        <v>1386989.1292875991</v>
      </c>
      <c r="I37" s="62">
        <f>I36*'Economic Projections'!$B17/'Economic Projections'!$B16</f>
        <v>337128.91820580477</v>
      </c>
      <c r="K37" s="193">
        <v>2070</v>
      </c>
      <c r="L37" s="62">
        <f>L36*'Economic Projections'!$C17/'Economic Projections'!$C16</f>
        <v>7839503.2431011815</v>
      </c>
      <c r="M37" s="62">
        <f>M36*'Economic Projections'!$C17/'Economic Projections'!$C16</f>
        <v>5236374.7805519057</v>
      </c>
      <c r="N37" s="62">
        <f>N36*'Economic Projections'!$C17/'Economic Projections'!$C16</f>
        <v>6207753.9342969786</v>
      </c>
      <c r="O37" s="62">
        <f>O36*'Economic Projections'!$C17/'Economic Projections'!$C16</f>
        <v>1256372.53088042</v>
      </c>
      <c r="P37" s="62">
        <f>P36*'Economic Projections'!$C17/'Economic Projections'!$C16</f>
        <v>1574601.4612352164</v>
      </c>
      <c r="Q37" s="62">
        <f>Q36*'Economic Projections'!$C17/'Economic Projections'!$C16</f>
        <v>382730.96452036791</v>
      </c>
      <c r="R37" s="62"/>
      <c r="S37" s="193">
        <v>2070</v>
      </c>
      <c r="T37" s="62">
        <f>T36*'Economic Projections'!$D17/'Economic Projections'!$D16</f>
        <v>9107435.9688311685</v>
      </c>
      <c r="U37" s="62">
        <f>U36*'Economic Projections'!$D17/'Economic Projections'!$D16</f>
        <v>6083286.9818181824</v>
      </c>
      <c r="V37" s="62">
        <f>V36*'Economic Projections'!$D17/'Economic Projections'!$D16</f>
        <v>7211773.4649350643</v>
      </c>
      <c r="W37" s="62">
        <f>W36*'Economic Projections'!$D17/'Economic Projections'!$D16</f>
        <v>1459573.6519480518</v>
      </c>
      <c r="X37" s="62">
        <f>X36*'Economic Projections'!$D17/'Economic Projections'!$D16</f>
        <v>1829271.7714285706</v>
      </c>
      <c r="Y37" s="62">
        <f>Y36*'Economic Projections'!$D17/'Economic Projections'!$D16</f>
        <v>444632.47792207781</v>
      </c>
      <c r="AA37" s="193">
        <v>2070</v>
      </c>
      <c r="AB37" s="62">
        <f>AB36*'Economic Projections'!$E17/'Economic Projections'!$E16</f>
        <v>7066518.1033112612</v>
      </c>
      <c r="AC37" s="62">
        <f>AC36*'Economic Projections'!$E17/'Economic Projections'!$E16</f>
        <v>4720061.4675496668</v>
      </c>
      <c r="AD37" s="62">
        <f>AD36*'Economic Projections'!$E17/'Economic Projections'!$E16</f>
        <v>5595661.3827814572</v>
      </c>
      <c r="AE37" s="62">
        <f>AE36*'Economic Projections'!$E17/'Economic Projections'!$E16</f>
        <v>1132492.577483444</v>
      </c>
      <c r="AF37" s="62">
        <f>AF36*'Economic Projections'!$E17/'Economic Projections'!$E16</f>
        <v>1419343.724503312</v>
      </c>
      <c r="AG37" s="62">
        <f>AG36*'Economic Projections'!$E17/'Economic Projections'!$E16</f>
        <v>344993.19735099364</v>
      </c>
    </row>
    <row r="38" spans="1:33">
      <c r="A38" s="260"/>
      <c r="B38" s="261"/>
      <c r="C38" s="193">
        <v>2080</v>
      </c>
      <c r="D38" s="62">
        <f>D37*'Economic Projections'!$B18/'Economic Projections'!$B17</f>
        <v>6630880.1794195231</v>
      </c>
      <c r="E38" s="62">
        <f>E37*'Economic Projections'!$B18/'Economic Projections'!$B17</f>
        <v>4429078.3060686002</v>
      </c>
      <c r="F38" s="62">
        <f>F37*'Economic Projections'!$B18/'Economic Projections'!$B17</f>
        <v>5250699.0870712399</v>
      </c>
      <c r="G38" s="62">
        <f>G37*'Economic Projections'!$B18/'Economic Projections'!$B17</f>
        <v>1062676.4802110817</v>
      </c>
      <c r="H38" s="62">
        <f>H37*'Economic Projections'!$B18/'Economic Projections'!$B17</f>
        <v>1331843.7783641161</v>
      </c>
      <c r="I38" s="62">
        <f>I37*'Economic Projections'!$B18/'Economic Projections'!$B17</f>
        <v>323724.99736147758</v>
      </c>
      <c r="K38" s="193">
        <v>2080</v>
      </c>
      <c r="L38" s="62">
        <f>L37*'Economic Projections'!$C18/'Economic Projections'!$C17</f>
        <v>7798068.2365308795</v>
      </c>
      <c r="M38" s="62">
        <f>M37*'Economic Projections'!$C18/'Economic Projections'!$C17</f>
        <v>5208698.3810775299</v>
      </c>
      <c r="N38" s="62">
        <f>N37*'Economic Projections'!$C18/'Economic Projections'!$C17</f>
        <v>6174943.3955321955</v>
      </c>
      <c r="O38" s="62">
        <f>O37*'Economic Projections'!$C18/'Economic Projections'!$C17</f>
        <v>1249732.0840998681</v>
      </c>
      <c r="P38" s="62">
        <f>P37*'Economic Projections'!$C18/'Economic Projections'!$C17</f>
        <v>1566279.0433639945</v>
      </c>
      <c r="Q38" s="62">
        <f>Q37*'Economic Projections'!$C18/'Economic Projections'!$C17</f>
        <v>380708.07358738501</v>
      </c>
      <c r="R38" s="62"/>
      <c r="S38" s="193">
        <v>2080</v>
      </c>
      <c r="T38" s="62">
        <f>T37*'Economic Projections'!$D18/'Economic Projections'!$D17</f>
        <v>9525133.1220779233</v>
      </c>
      <c r="U38" s="62">
        <f>U37*'Economic Projections'!$D18/'Economic Projections'!$D17</f>
        <v>6362286.6545454552</v>
      </c>
      <c r="V38" s="62">
        <f>V37*'Economic Projections'!$D18/'Economic Projections'!$D17</f>
        <v>7542529.2623376623</v>
      </c>
      <c r="W38" s="62">
        <f>W37*'Economic Projections'!$D18/'Economic Projections'!$D17</f>
        <v>1526514.5298701299</v>
      </c>
      <c r="X38" s="62">
        <f>X37*'Economic Projections'!$D18/'Economic Projections'!$D17</f>
        <v>1913168.2285714282</v>
      </c>
      <c r="Y38" s="62">
        <f>Y37*'Economic Projections'!$D18/'Economic Projections'!$D17</f>
        <v>465024.79480519472</v>
      </c>
      <c r="AA38" s="193">
        <v>2080</v>
      </c>
      <c r="AB38" s="62">
        <f>AB37*'Economic Projections'!$E18/'Economic Projections'!$E17</f>
        <v>6849343.7880794713</v>
      </c>
      <c r="AC38" s="62">
        <f>AC37*'Economic Projections'!$E18/'Economic Projections'!$E17</f>
        <v>4575000.4768211888</v>
      </c>
      <c r="AD38" s="62">
        <f>AD37*'Economic Projections'!$E18/'Economic Projections'!$E17</f>
        <v>5423690.7019867543</v>
      </c>
      <c r="AE38" s="62">
        <f>AE37*'Economic Projections'!$E18/'Economic Projections'!$E17</f>
        <v>1097687.8410596028</v>
      </c>
      <c r="AF38" s="62">
        <f>AF37*'Economic Projections'!$E18/'Economic Projections'!$E17</f>
        <v>1375723.23178808</v>
      </c>
      <c r="AG38" s="62">
        <f>AG37*'Economic Projections'!$E18/'Economic Projections'!$E17</f>
        <v>334390.56953642407</v>
      </c>
    </row>
    <row r="39" spans="1:33">
      <c r="A39" s="260"/>
      <c r="B39" s="261"/>
      <c r="C39" s="193">
        <v>2090</v>
      </c>
      <c r="D39" s="62">
        <f>D38*'Economic Projections'!$B19/'Economic Projections'!$B18</f>
        <v>6248169.4036939293</v>
      </c>
      <c r="E39" s="62">
        <f>E38*'Economic Projections'!$B19/'Economic Projections'!$B18</f>
        <v>4173447.688654352</v>
      </c>
      <c r="F39" s="62">
        <f>F38*'Economic Projections'!$B19/'Economic Projections'!$B18</f>
        <v>4947647.4459102899</v>
      </c>
      <c r="G39" s="62">
        <f>G38*'Economic Projections'!$B19/'Economic Projections'!$B18</f>
        <v>1001342.580474934</v>
      </c>
      <c r="H39" s="62">
        <f>H38*'Economic Projections'!$B19/'Economic Projections'!$B18</f>
        <v>1254974.5013192613</v>
      </c>
      <c r="I39" s="62">
        <f>I38*'Economic Projections'!$B19/'Economic Projections'!$B18</f>
        <v>305040.74406332453</v>
      </c>
      <c r="K39" s="193">
        <v>2090</v>
      </c>
      <c r="L39" s="62">
        <f>L38*'Economic Projections'!$C19/'Economic Projections'!$C18</f>
        <v>7665476.215505912</v>
      </c>
      <c r="M39" s="62">
        <f>M38*'Economic Projections'!$C19/'Economic Projections'!$C18</f>
        <v>5120133.9027595278</v>
      </c>
      <c r="N39" s="62">
        <f>N38*'Economic Projections'!$C19/'Economic Projections'!$C18</f>
        <v>6069949.6714848895</v>
      </c>
      <c r="O39" s="62">
        <f>O38*'Economic Projections'!$C19/'Economic Projections'!$C18</f>
        <v>1228482.6544021021</v>
      </c>
      <c r="P39" s="62">
        <f>P38*'Economic Projections'!$C19/'Economic Projections'!$C18</f>
        <v>1539647.3061760839</v>
      </c>
      <c r="Q39" s="62">
        <f>Q38*'Economic Projections'!$C19/'Economic Projections'!$C18</f>
        <v>374234.82260183967</v>
      </c>
      <c r="R39" s="62"/>
      <c r="S39" s="193">
        <v>2090</v>
      </c>
      <c r="T39" s="62">
        <f>T38*'Economic Projections'!$D19/'Economic Projections'!$D18</f>
        <v>9934640.1350649372</v>
      </c>
      <c r="U39" s="62">
        <f>U38*'Economic Projections'!$D19/'Economic Projections'!$D18</f>
        <v>6635815.745454547</v>
      </c>
      <c r="V39" s="62">
        <f>V38*'Economic Projections'!$D19/'Economic Projections'!$D18</f>
        <v>7866799.6519480525</v>
      </c>
      <c r="W39" s="62">
        <f>W38*'Economic Projections'!$D19/'Economic Projections'!$D18</f>
        <v>1592142.8415584418</v>
      </c>
      <c r="X39" s="62">
        <f>X38*'Economic Projections'!$D19/'Economic Projections'!$D18</f>
        <v>1995419.6571428569</v>
      </c>
      <c r="Y39" s="62">
        <f>Y38*'Economic Projections'!$D19/'Economic Projections'!$D18</f>
        <v>485017.26233766228</v>
      </c>
      <c r="AA39" s="193">
        <v>2090</v>
      </c>
      <c r="AB39" s="62">
        <f>AB38*'Economic Projections'!$E19/'Economic Projections'!$E18</f>
        <v>6540288.0317880819</v>
      </c>
      <c r="AC39" s="62">
        <f>AC38*'Economic Projections'!$E19/'Economic Projections'!$E18</f>
        <v>4368567.5284768185</v>
      </c>
      <c r="AD39" s="62">
        <f>AD38*'Economic Projections'!$E19/'Economic Projections'!$E18</f>
        <v>5178963.1947019873</v>
      </c>
      <c r="AE39" s="62">
        <f>AE38*'Economic Projections'!$E19/'Economic Projections'!$E18</f>
        <v>1048158.0238410598</v>
      </c>
      <c r="AF39" s="62">
        <f>AF38*'Economic Projections'!$E19/'Economic Projections'!$E18</f>
        <v>1313647.9152317885</v>
      </c>
      <c r="AG39" s="62">
        <f>AG38*'Economic Projections'!$E19/'Economic Projections'!$E18</f>
        <v>319302.21456953668</v>
      </c>
    </row>
    <row r="40" spans="1:33">
      <c r="A40" s="260"/>
      <c r="B40" s="261"/>
      <c r="C40" s="193">
        <v>2100</v>
      </c>
      <c r="D40" s="62">
        <f>D39*'Economic Projections'!$B20/'Economic Projections'!$B19</f>
        <v>5790580.4327176763</v>
      </c>
      <c r="E40" s="62">
        <f>E39*'Economic Projections'!$B20/'Economic Projections'!$B19</f>
        <v>3867802.385224273</v>
      </c>
      <c r="F40" s="62">
        <f>F39*'Economic Projections'!$B20/'Economic Projections'!$B19</f>
        <v>4585303.092348285</v>
      </c>
      <c r="G40" s="62">
        <f>G39*'Economic Projections'!$B20/'Economic Projections'!$B19</f>
        <v>928008.56992084428</v>
      </c>
      <c r="H40" s="62">
        <f>H39*'Economic Projections'!$B20/'Economic Projections'!$B19</f>
        <v>1163065.5831134566</v>
      </c>
      <c r="I40" s="62">
        <f>I39*'Economic Projections'!$B20/'Economic Projections'!$B19</f>
        <v>282700.87598944589</v>
      </c>
      <c r="K40" s="193">
        <v>2100</v>
      </c>
      <c r="L40" s="62">
        <f>L39*'Economic Projections'!$C20/'Economic Projections'!$C19</f>
        <v>7483162.1865965817</v>
      </c>
      <c r="M40" s="62">
        <f>M39*'Economic Projections'!$C20/'Economic Projections'!$C19</f>
        <v>4998357.7450722735</v>
      </c>
      <c r="N40" s="62">
        <f>N39*'Economic Projections'!$C20/'Economic Projections'!$C19</f>
        <v>5925583.3009198429</v>
      </c>
      <c r="O40" s="62">
        <f>O39*'Economic Projections'!$C20/'Economic Projections'!$C19</f>
        <v>1199264.6885676736</v>
      </c>
      <c r="P40" s="62">
        <f>P39*'Economic Projections'!$C20/'Economic Projections'!$C19</f>
        <v>1503028.6675427065</v>
      </c>
      <c r="Q40" s="62">
        <f>Q39*'Economic Projections'!$C20/'Economic Projections'!$C19</f>
        <v>365334.1024967148</v>
      </c>
      <c r="R40" s="62"/>
      <c r="S40" s="193">
        <v>2100</v>
      </c>
      <c r="T40" s="62">
        <f>T39*'Economic Projections'!$D20/'Economic Projections'!$D19</f>
        <v>10335957.007792208</v>
      </c>
      <c r="U40" s="62">
        <f>U39*'Economic Projections'!$D20/'Economic Projections'!$D19</f>
        <v>6903874.2545454549</v>
      </c>
      <c r="V40" s="62">
        <f>V39*'Economic Projections'!$D20/'Economic Projections'!$D19</f>
        <v>8184584.6337662321</v>
      </c>
      <c r="W40" s="62">
        <f>W39*'Economic Projections'!$D20/'Economic Projections'!$D19</f>
        <v>1656458.5870129869</v>
      </c>
      <c r="X40" s="62">
        <f>X39*'Economic Projections'!$D20/'Economic Projections'!$D19</f>
        <v>2076026.0571428565</v>
      </c>
      <c r="Y40" s="62">
        <f>Y39*'Economic Projections'!$D20/'Economic Projections'!$D19</f>
        <v>504609.88051948033</v>
      </c>
      <c r="AA40" s="193">
        <v>2100</v>
      </c>
      <c r="AB40" s="62">
        <f>AB39*'Economic Projections'!$E20/'Economic Projections'!$E19</f>
        <v>6164409.4092715243</v>
      </c>
      <c r="AC40" s="62">
        <f>AC39*'Economic Projections'!$E20/'Economic Projections'!$E19</f>
        <v>4117500.4291390697</v>
      </c>
      <c r="AD40" s="62">
        <f>AD39*'Economic Projections'!$E20/'Economic Projections'!$E19</f>
        <v>4881321.6317880796</v>
      </c>
      <c r="AE40" s="62">
        <f>AE39*'Economic Projections'!$E20/'Economic Projections'!$E19</f>
        <v>987919.05695364252</v>
      </c>
      <c r="AF40" s="62">
        <f>AF39*'Economic Projections'!$E20/'Economic Projections'!$E19</f>
        <v>1238150.908609272</v>
      </c>
      <c r="AG40" s="62">
        <f>AG39*'Economic Projections'!$E20/'Economic Projections'!$E19</f>
        <v>300951.51258278167</v>
      </c>
    </row>
    <row r="41" spans="1:33">
      <c r="A41" s="205"/>
      <c r="B41" s="205"/>
      <c r="C41" s="210" t="s">
        <v>88</v>
      </c>
      <c r="D41" s="264" t="s">
        <v>245</v>
      </c>
      <c r="E41" s="264"/>
      <c r="F41" s="264"/>
      <c r="G41" s="264"/>
      <c r="H41" s="264"/>
      <c r="I41" s="265"/>
      <c r="K41" s="210" t="s">
        <v>88</v>
      </c>
      <c r="L41" s="264" t="s">
        <v>245</v>
      </c>
      <c r="M41" s="264"/>
      <c r="N41" s="264"/>
      <c r="O41" s="264"/>
      <c r="P41" s="264"/>
      <c r="Q41" s="265"/>
      <c r="S41" s="210" t="s">
        <v>88</v>
      </c>
      <c r="T41" s="264" t="s">
        <v>245</v>
      </c>
      <c r="U41" s="264"/>
      <c r="V41" s="264"/>
      <c r="W41" s="264"/>
      <c r="X41" s="264"/>
      <c r="Y41" s="265"/>
      <c r="AA41" s="210" t="s">
        <v>88</v>
      </c>
      <c r="AB41" s="264" t="s">
        <v>245</v>
      </c>
      <c r="AC41" s="264"/>
      <c r="AD41" s="264"/>
      <c r="AE41" s="264"/>
      <c r="AF41" s="264"/>
      <c r="AG41" s="265"/>
    </row>
    <row r="42" spans="1:33">
      <c r="A42" s="256"/>
      <c r="B42" s="257"/>
      <c r="C42" s="193">
        <v>2020</v>
      </c>
      <c r="D42" s="63">
        <f>'Demographic-Economic'!B$45*'Demographic-Economic'!B$8</f>
        <v>686182497058.94995</v>
      </c>
      <c r="E42" s="63">
        <f>'Demographic-Economic'!C$45*'Demographic-Economic'!C$8</f>
        <v>585403609066.20007</v>
      </c>
      <c r="F42" s="63">
        <f>'Demographic-Economic'!D$45*'Demographic-Economic'!D$8</f>
        <v>401236800576</v>
      </c>
      <c r="G42" s="63">
        <f>'Demographic-Economic'!E$45*'Demographic-Economic'!E$8</f>
        <v>63944333016.000008</v>
      </c>
      <c r="H42" s="63">
        <f>'Demographic-Economic'!F$45*'Demographic-Economic'!F$8</f>
        <v>76343956433.399994</v>
      </c>
      <c r="I42" s="63">
        <f>'Demographic-Economic'!G$45*'Demographic-Economic'!G$8</f>
        <v>25574146120.350002</v>
      </c>
      <c r="K42" s="193">
        <v>2020</v>
      </c>
      <c r="L42" s="63">
        <f>'Demographic-Economic'!B$45*'Demographic-Economic'!B$8</f>
        <v>686182497058.94995</v>
      </c>
      <c r="M42" s="63">
        <f>'Demographic-Economic'!C$45*'Demographic-Economic'!C$8</f>
        <v>585403609066.20007</v>
      </c>
      <c r="N42" s="63">
        <f>'Demographic-Economic'!D$45*'Demographic-Economic'!D$8</f>
        <v>401236800576</v>
      </c>
      <c r="O42" s="63">
        <f>'Demographic-Economic'!E$45*'Demographic-Economic'!E$8</f>
        <v>63944333016.000008</v>
      </c>
      <c r="P42" s="63">
        <f>'Demographic-Economic'!F$45*'Demographic-Economic'!F$8</f>
        <v>76343956433.399994</v>
      </c>
      <c r="Q42" s="63">
        <f>'Demographic-Economic'!G$45*'Demographic-Economic'!G$8</f>
        <v>25574146120.350002</v>
      </c>
      <c r="R42" s="63"/>
      <c r="S42" s="193">
        <v>2020</v>
      </c>
      <c r="T42" s="63">
        <f>'Demographic-Economic'!B$45*'Demographic-Economic'!B$8</f>
        <v>686182497058.94995</v>
      </c>
      <c r="U42" s="63">
        <f>'Demographic-Economic'!C$45*'Demographic-Economic'!C$8</f>
        <v>585403609066.20007</v>
      </c>
      <c r="V42" s="63">
        <f>'Demographic-Economic'!D$45*'Demographic-Economic'!D$8</f>
        <v>401236800576</v>
      </c>
      <c r="W42" s="63">
        <f>'Demographic-Economic'!E$45*'Demographic-Economic'!E$8</f>
        <v>63944333016.000008</v>
      </c>
      <c r="X42" s="63">
        <f>'Demographic-Economic'!F$45*'Demographic-Economic'!F$8</f>
        <v>76343956433.399994</v>
      </c>
      <c r="Y42" s="63">
        <f>'Demographic-Economic'!G$45*'Demographic-Economic'!G$8</f>
        <v>25574146120.350002</v>
      </c>
      <c r="AA42" s="193">
        <v>2020</v>
      </c>
      <c r="AB42" s="63">
        <f>'Demographic-Economic'!B$45*'Demographic-Economic'!B$8</f>
        <v>686182497058.94995</v>
      </c>
      <c r="AC42" s="63">
        <f>'Demographic-Economic'!C$45*'Demographic-Economic'!C$8</f>
        <v>585403609066.20007</v>
      </c>
      <c r="AD42" s="63">
        <f>'Demographic-Economic'!D$45*'Demographic-Economic'!D$8</f>
        <v>401236800576</v>
      </c>
      <c r="AE42" s="63">
        <f>'Demographic-Economic'!E$45*'Demographic-Economic'!E$8</f>
        <v>63944333016.000008</v>
      </c>
      <c r="AF42" s="63">
        <f>'Demographic-Economic'!F$45*'Demographic-Economic'!F$8</f>
        <v>76343956433.399994</v>
      </c>
      <c r="AG42" s="63">
        <f>'Demographic-Economic'!G$45*'Demographic-Economic'!G$8</f>
        <v>25574146120.350002</v>
      </c>
    </row>
    <row r="43" spans="1:33">
      <c r="A43" s="256"/>
      <c r="B43" s="257"/>
      <c r="C43" s="193">
        <v>2021</v>
      </c>
      <c r="D43" s="63">
        <f>D42*(1+$B$15)^($C43-$C42)</f>
        <v>711941216179.79541</v>
      </c>
      <c r="E43" s="63">
        <f t="shared" ref="E43:I58" si="0">E42*(1+$B$15)^($C43-$C42)</f>
        <v>607379172714.20435</v>
      </c>
      <c r="F43" s="63">
        <f t="shared" si="0"/>
        <v>416298895705.62256</v>
      </c>
      <c r="G43" s="63">
        <f t="shared" si="0"/>
        <v>66344749990.476471</v>
      </c>
      <c r="H43" s="63">
        <f t="shared" si="0"/>
        <v>79209844937.946136</v>
      </c>
      <c r="I43" s="63">
        <f t="shared" si="0"/>
        <v>26534178253.91951</v>
      </c>
      <c r="K43" s="193">
        <v>2021</v>
      </c>
      <c r="L43" s="63">
        <f>L42*(1+$B$15)^($K43-$K42)</f>
        <v>711941216179.79541</v>
      </c>
      <c r="M43" s="63">
        <f t="shared" ref="M43:Q58" si="1">M42*(1+$B$15)^($K43-$K42)</f>
        <v>607379172714.20435</v>
      </c>
      <c r="N43" s="63">
        <f t="shared" si="1"/>
        <v>416298895705.62256</v>
      </c>
      <c r="O43" s="63">
        <f t="shared" si="1"/>
        <v>66344749990.476471</v>
      </c>
      <c r="P43" s="63">
        <f t="shared" si="1"/>
        <v>79209844937.946136</v>
      </c>
      <c r="Q43" s="63">
        <f t="shared" si="1"/>
        <v>26534178253.91951</v>
      </c>
      <c r="S43" s="193">
        <v>2021</v>
      </c>
      <c r="T43" s="63">
        <f>T42*(1+$B$15)^($S43-$S42)</f>
        <v>711941216179.79541</v>
      </c>
      <c r="U43" s="63">
        <f t="shared" ref="U43:Y58" si="2">U42*(1+$B$15)^($S43-$S42)</f>
        <v>607379172714.20435</v>
      </c>
      <c r="V43" s="63">
        <f t="shared" si="2"/>
        <v>416298895705.62256</v>
      </c>
      <c r="W43" s="63">
        <f t="shared" si="2"/>
        <v>66344749990.476471</v>
      </c>
      <c r="X43" s="63">
        <f t="shared" si="2"/>
        <v>79209844937.946136</v>
      </c>
      <c r="Y43" s="63">
        <f t="shared" si="2"/>
        <v>26534178253.91951</v>
      </c>
      <c r="AA43" s="193">
        <v>2021</v>
      </c>
      <c r="AB43" s="63">
        <f>AB42*(1+$B$15)^($AA43-$AA42)</f>
        <v>711941216179.79541</v>
      </c>
      <c r="AC43" s="63">
        <f t="shared" ref="AC43:AG58" si="3">AC42*(1+$B$15)^($AA43-$AA42)</f>
        <v>607379172714.20435</v>
      </c>
      <c r="AD43" s="63">
        <f t="shared" si="3"/>
        <v>416298895705.62256</v>
      </c>
      <c r="AE43" s="63">
        <f t="shared" si="3"/>
        <v>66344749990.476471</v>
      </c>
      <c r="AF43" s="63">
        <f t="shared" si="3"/>
        <v>79209844937.946136</v>
      </c>
      <c r="AG43" s="63">
        <f t="shared" si="3"/>
        <v>26534178253.91951</v>
      </c>
    </row>
    <row r="44" spans="1:33">
      <c r="A44" s="256"/>
      <c r="B44" s="257"/>
      <c r="C44" s="193">
        <v>2022</v>
      </c>
      <c r="D44" s="63">
        <f t="shared" ref="D44:D59" si="4">D43*(1+$B$15)^($C44-$C43)</f>
        <v>738666896150.83813</v>
      </c>
      <c r="E44" s="63">
        <f t="shared" si="0"/>
        <v>630179680708.58496</v>
      </c>
      <c r="F44" s="63">
        <f t="shared" si="0"/>
        <v>431926409334.66522</v>
      </c>
      <c r="G44" s="63">
        <f t="shared" si="0"/>
        <v>68835276617.827301</v>
      </c>
      <c r="H44" s="63">
        <f t="shared" si="0"/>
        <v>82183316508.712524</v>
      </c>
      <c r="I44" s="63">
        <f t="shared" si="0"/>
        <v>27530249193.756435</v>
      </c>
      <c r="K44" s="193">
        <v>2022</v>
      </c>
      <c r="L44" s="63">
        <f t="shared" ref="L44:L59" si="5">L43*(1+$B$15)^($K44-$K43)</f>
        <v>738666896150.83813</v>
      </c>
      <c r="M44" s="63">
        <f t="shared" si="1"/>
        <v>630179680708.58496</v>
      </c>
      <c r="N44" s="63">
        <f t="shared" si="1"/>
        <v>431926409334.66522</v>
      </c>
      <c r="O44" s="63">
        <f t="shared" si="1"/>
        <v>68835276617.827301</v>
      </c>
      <c r="P44" s="63">
        <f t="shared" si="1"/>
        <v>82183316508.712524</v>
      </c>
      <c r="Q44" s="63">
        <f t="shared" si="1"/>
        <v>27530249193.756435</v>
      </c>
      <c r="S44" s="193">
        <v>2022</v>
      </c>
      <c r="T44" s="63">
        <f t="shared" ref="T44:T59" si="6">T43*(1+$B$15)^($S44-$S43)</f>
        <v>738666896150.83813</v>
      </c>
      <c r="U44" s="63">
        <f t="shared" si="2"/>
        <v>630179680708.58496</v>
      </c>
      <c r="V44" s="63">
        <f t="shared" si="2"/>
        <v>431926409334.66522</v>
      </c>
      <c r="W44" s="63">
        <f t="shared" si="2"/>
        <v>68835276617.827301</v>
      </c>
      <c r="X44" s="63">
        <f t="shared" si="2"/>
        <v>82183316508.712524</v>
      </c>
      <c r="Y44" s="63">
        <f t="shared" si="2"/>
        <v>27530249193.756435</v>
      </c>
      <c r="AA44" s="193">
        <v>2022</v>
      </c>
      <c r="AB44" s="63">
        <f t="shared" ref="AB44:AB59" si="7">AB43*(1+$B$15)^($AA44-$AA43)</f>
        <v>738666896150.83813</v>
      </c>
      <c r="AC44" s="63">
        <f t="shared" si="3"/>
        <v>630179680708.58496</v>
      </c>
      <c r="AD44" s="63">
        <f t="shared" si="3"/>
        <v>431926409334.66522</v>
      </c>
      <c r="AE44" s="63">
        <f t="shared" si="3"/>
        <v>68835276617.827301</v>
      </c>
      <c r="AF44" s="63">
        <f t="shared" si="3"/>
        <v>82183316508.712524</v>
      </c>
      <c r="AG44" s="63">
        <f t="shared" si="3"/>
        <v>27530249193.756435</v>
      </c>
    </row>
    <row r="45" spans="1:33">
      <c r="A45" s="256"/>
      <c r="B45" s="257"/>
      <c r="C45" s="193">
        <v>2023</v>
      </c>
      <c r="D45" s="63">
        <f t="shared" si="4"/>
        <v>766395835876.59387</v>
      </c>
      <c r="E45" s="63">
        <f t="shared" si="0"/>
        <v>653836100772.65137</v>
      </c>
      <c r="F45" s="63">
        <f t="shared" si="0"/>
        <v>448140566802.41412</v>
      </c>
      <c r="G45" s="63">
        <f t="shared" si="0"/>
        <v>71419295539.330017</v>
      </c>
      <c r="H45" s="63">
        <f t="shared" si="0"/>
        <v>85268409724.352509</v>
      </c>
      <c r="I45" s="63">
        <f t="shared" si="0"/>
        <v>28563711806.615723</v>
      </c>
      <c r="K45" s="193">
        <v>2023</v>
      </c>
      <c r="L45" s="63">
        <f t="shared" si="5"/>
        <v>766395835876.59387</v>
      </c>
      <c r="M45" s="63">
        <f t="shared" si="1"/>
        <v>653836100772.65137</v>
      </c>
      <c r="N45" s="63">
        <f t="shared" si="1"/>
        <v>448140566802.41412</v>
      </c>
      <c r="O45" s="63">
        <f t="shared" si="1"/>
        <v>71419295539.330017</v>
      </c>
      <c r="P45" s="63">
        <f t="shared" si="1"/>
        <v>85268409724.352509</v>
      </c>
      <c r="Q45" s="63">
        <f t="shared" si="1"/>
        <v>28563711806.615723</v>
      </c>
      <c r="S45" s="193">
        <v>2023</v>
      </c>
      <c r="T45" s="63">
        <f t="shared" si="6"/>
        <v>766395835876.59387</v>
      </c>
      <c r="U45" s="63">
        <f t="shared" si="2"/>
        <v>653836100772.65137</v>
      </c>
      <c r="V45" s="63">
        <f t="shared" si="2"/>
        <v>448140566802.41412</v>
      </c>
      <c r="W45" s="63">
        <f t="shared" si="2"/>
        <v>71419295539.330017</v>
      </c>
      <c r="X45" s="63">
        <f t="shared" si="2"/>
        <v>85268409724.352509</v>
      </c>
      <c r="Y45" s="63">
        <f t="shared" si="2"/>
        <v>28563711806.615723</v>
      </c>
      <c r="AA45" s="193">
        <v>2023</v>
      </c>
      <c r="AB45" s="63">
        <f t="shared" si="7"/>
        <v>766395835876.59387</v>
      </c>
      <c r="AC45" s="63">
        <f t="shared" si="3"/>
        <v>653836100772.65137</v>
      </c>
      <c r="AD45" s="63">
        <f t="shared" si="3"/>
        <v>448140566802.41412</v>
      </c>
      <c r="AE45" s="63">
        <f t="shared" si="3"/>
        <v>71419295539.330017</v>
      </c>
      <c r="AF45" s="63">
        <f t="shared" si="3"/>
        <v>85268409724.352509</v>
      </c>
      <c r="AG45" s="63">
        <f t="shared" si="3"/>
        <v>28563711806.615723</v>
      </c>
    </row>
    <row r="46" spans="1:33">
      <c r="A46" s="256"/>
      <c r="B46" s="257"/>
      <c r="C46" s="193">
        <v>2024</v>
      </c>
      <c r="D46" s="63">
        <f t="shared" si="4"/>
        <v>795165696892.20471</v>
      </c>
      <c r="E46" s="63">
        <f t="shared" si="0"/>
        <v>678380563132.23938</v>
      </c>
      <c r="F46" s="63">
        <f t="shared" si="0"/>
        <v>464963390229.70441</v>
      </c>
      <c r="G46" s="63">
        <f t="shared" si="0"/>
        <v>74100316377.796844</v>
      </c>
      <c r="H46" s="63">
        <f t="shared" si="0"/>
        <v>88469314768.396606</v>
      </c>
      <c r="I46" s="63">
        <f t="shared" si="0"/>
        <v>29635969744.742905</v>
      </c>
      <c r="K46" s="193">
        <v>2024</v>
      </c>
      <c r="L46" s="63">
        <f t="shared" si="5"/>
        <v>795165696892.20471</v>
      </c>
      <c r="M46" s="63">
        <f t="shared" si="1"/>
        <v>678380563132.23938</v>
      </c>
      <c r="N46" s="63">
        <f t="shared" si="1"/>
        <v>464963390229.70441</v>
      </c>
      <c r="O46" s="63">
        <f t="shared" si="1"/>
        <v>74100316377.796844</v>
      </c>
      <c r="P46" s="63">
        <f t="shared" si="1"/>
        <v>88469314768.396606</v>
      </c>
      <c r="Q46" s="63">
        <f t="shared" si="1"/>
        <v>29635969744.742905</v>
      </c>
      <c r="S46" s="193">
        <v>2024</v>
      </c>
      <c r="T46" s="63">
        <f t="shared" si="6"/>
        <v>795165696892.20471</v>
      </c>
      <c r="U46" s="63">
        <f t="shared" si="2"/>
        <v>678380563132.23938</v>
      </c>
      <c r="V46" s="63">
        <f t="shared" si="2"/>
        <v>464963390229.70441</v>
      </c>
      <c r="W46" s="63">
        <f t="shared" si="2"/>
        <v>74100316377.796844</v>
      </c>
      <c r="X46" s="63">
        <f t="shared" si="2"/>
        <v>88469314768.396606</v>
      </c>
      <c r="Y46" s="63">
        <f t="shared" si="2"/>
        <v>29635969744.742905</v>
      </c>
      <c r="AA46" s="193">
        <v>2024</v>
      </c>
      <c r="AB46" s="63">
        <f t="shared" si="7"/>
        <v>795165696892.20471</v>
      </c>
      <c r="AC46" s="63">
        <f t="shared" si="3"/>
        <v>678380563132.23938</v>
      </c>
      <c r="AD46" s="63">
        <f t="shared" si="3"/>
        <v>464963390229.70441</v>
      </c>
      <c r="AE46" s="63">
        <f t="shared" si="3"/>
        <v>74100316377.796844</v>
      </c>
      <c r="AF46" s="63">
        <f t="shared" si="3"/>
        <v>88469314768.396606</v>
      </c>
      <c r="AG46" s="63">
        <f t="shared" si="3"/>
        <v>29635969744.742905</v>
      </c>
    </row>
    <row r="47" spans="1:33">
      <c r="A47" s="256"/>
      <c r="B47" s="257"/>
      <c r="C47" s="193">
        <v>2025</v>
      </c>
      <c r="D47" s="63">
        <f t="shared" si="4"/>
        <v>825015554515.4574</v>
      </c>
      <c r="E47" s="63">
        <f t="shared" si="0"/>
        <v>703846404155.08777</v>
      </c>
      <c r="F47" s="63">
        <f t="shared" si="0"/>
        <v>482417728429.43567</v>
      </c>
      <c r="G47" s="63">
        <f t="shared" si="0"/>
        <v>76881980504.355698</v>
      </c>
      <c r="H47" s="63">
        <f t="shared" si="0"/>
        <v>91790379120.373245</v>
      </c>
      <c r="I47" s="63">
        <f t="shared" si="0"/>
        <v>30748479352.319099</v>
      </c>
      <c r="K47" s="193">
        <v>2025</v>
      </c>
      <c r="L47" s="63">
        <f t="shared" si="5"/>
        <v>825015554515.4574</v>
      </c>
      <c r="M47" s="63">
        <f t="shared" si="1"/>
        <v>703846404155.08777</v>
      </c>
      <c r="N47" s="63">
        <f t="shared" si="1"/>
        <v>482417728429.43567</v>
      </c>
      <c r="O47" s="63">
        <f t="shared" si="1"/>
        <v>76881980504.355698</v>
      </c>
      <c r="P47" s="63">
        <f t="shared" si="1"/>
        <v>91790379120.373245</v>
      </c>
      <c r="Q47" s="63">
        <f t="shared" si="1"/>
        <v>30748479352.319099</v>
      </c>
      <c r="S47" s="193">
        <v>2025</v>
      </c>
      <c r="T47" s="63">
        <f t="shared" si="6"/>
        <v>825015554515.4574</v>
      </c>
      <c r="U47" s="63">
        <f t="shared" si="2"/>
        <v>703846404155.08777</v>
      </c>
      <c r="V47" s="63">
        <f t="shared" si="2"/>
        <v>482417728429.43567</v>
      </c>
      <c r="W47" s="63">
        <f t="shared" si="2"/>
        <v>76881980504.355698</v>
      </c>
      <c r="X47" s="63">
        <f t="shared" si="2"/>
        <v>91790379120.373245</v>
      </c>
      <c r="Y47" s="63">
        <f t="shared" si="2"/>
        <v>30748479352.319099</v>
      </c>
      <c r="AA47" s="193">
        <v>2025</v>
      </c>
      <c r="AB47" s="63">
        <f t="shared" si="7"/>
        <v>825015554515.4574</v>
      </c>
      <c r="AC47" s="63">
        <f t="shared" si="3"/>
        <v>703846404155.08777</v>
      </c>
      <c r="AD47" s="63">
        <f t="shared" si="3"/>
        <v>482417728429.43567</v>
      </c>
      <c r="AE47" s="63">
        <f t="shared" si="3"/>
        <v>76881980504.355698</v>
      </c>
      <c r="AF47" s="63">
        <f t="shared" si="3"/>
        <v>91790379120.373245</v>
      </c>
      <c r="AG47" s="63">
        <f t="shared" si="3"/>
        <v>30748479352.319099</v>
      </c>
    </row>
    <row r="48" spans="1:33">
      <c r="A48" s="256"/>
      <c r="B48" s="257"/>
      <c r="C48" s="193">
        <v>2026</v>
      </c>
      <c r="D48" s="63">
        <f t="shared" si="4"/>
        <v>855985950919.00562</v>
      </c>
      <c r="E48" s="63">
        <f t="shared" si="0"/>
        <v>730268211628.39966</v>
      </c>
      <c r="F48" s="63">
        <f t="shared" si="0"/>
        <v>500527287939.90302</v>
      </c>
      <c r="G48" s="63">
        <f t="shared" si="0"/>
        <v>79768065984.172119</v>
      </c>
      <c r="H48" s="63">
        <f t="shared" si="0"/>
        <v>95236113460.569458</v>
      </c>
      <c r="I48" s="63">
        <f t="shared" si="0"/>
        <v>31902751643.472366</v>
      </c>
      <c r="K48" s="193">
        <v>2026</v>
      </c>
      <c r="L48" s="63">
        <f t="shared" si="5"/>
        <v>855985950919.00562</v>
      </c>
      <c r="M48" s="63">
        <f t="shared" si="1"/>
        <v>730268211628.39966</v>
      </c>
      <c r="N48" s="63">
        <f t="shared" si="1"/>
        <v>500527287939.90302</v>
      </c>
      <c r="O48" s="63">
        <f t="shared" si="1"/>
        <v>79768065984.172119</v>
      </c>
      <c r="P48" s="63">
        <f t="shared" si="1"/>
        <v>95236113460.569458</v>
      </c>
      <c r="Q48" s="63">
        <f t="shared" si="1"/>
        <v>31902751643.472366</v>
      </c>
      <c r="S48" s="193">
        <v>2026</v>
      </c>
      <c r="T48" s="63">
        <f t="shared" si="6"/>
        <v>855985950919.00562</v>
      </c>
      <c r="U48" s="63">
        <f t="shared" si="2"/>
        <v>730268211628.39966</v>
      </c>
      <c r="V48" s="63">
        <f t="shared" si="2"/>
        <v>500527287939.90302</v>
      </c>
      <c r="W48" s="63">
        <f t="shared" si="2"/>
        <v>79768065984.172119</v>
      </c>
      <c r="X48" s="63">
        <f t="shared" si="2"/>
        <v>95236113460.569458</v>
      </c>
      <c r="Y48" s="63">
        <f t="shared" si="2"/>
        <v>31902751643.472366</v>
      </c>
      <c r="AA48" s="193">
        <v>2026</v>
      </c>
      <c r="AB48" s="63">
        <f t="shared" si="7"/>
        <v>855985950919.00562</v>
      </c>
      <c r="AC48" s="63">
        <f t="shared" si="3"/>
        <v>730268211628.39966</v>
      </c>
      <c r="AD48" s="63">
        <f t="shared" si="3"/>
        <v>500527287939.90302</v>
      </c>
      <c r="AE48" s="63">
        <f t="shared" si="3"/>
        <v>79768065984.172119</v>
      </c>
      <c r="AF48" s="63">
        <f t="shared" si="3"/>
        <v>95236113460.569458</v>
      </c>
      <c r="AG48" s="63">
        <f t="shared" si="3"/>
        <v>31902751643.472366</v>
      </c>
    </row>
    <row r="49" spans="1:33">
      <c r="A49" s="256"/>
      <c r="B49" s="257"/>
      <c r="C49" s="193">
        <v>2027</v>
      </c>
      <c r="D49" s="63">
        <f t="shared" si="4"/>
        <v>888118950194.87927</v>
      </c>
      <c r="E49" s="63">
        <f t="shared" si="0"/>
        <v>757681871736.08679</v>
      </c>
      <c r="F49" s="63">
        <f t="shared" si="0"/>
        <v>519316665223.09369</v>
      </c>
      <c r="G49" s="63">
        <f t="shared" si="0"/>
        <v>82762492707.82962</v>
      </c>
      <c r="H49" s="63">
        <f t="shared" si="0"/>
        <v>98811197796.451355</v>
      </c>
      <c r="I49" s="63">
        <f t="shared" si="0"/>
        <v>33100354354.54195</v>
      </c>
      <c r="K49" s="193">
        <v>2027</v>
      </c>
      <c r="L49" s="63">
        <f t="shared" si="5"/>
        <v>888118950194.87927</v>
      </c>
      <c r="M49" s="63">
        <f t="shared" si="1"/>
        <v>757681871736.08679</v>
      </c>
      <c r="N49" s="63">
        <f t="shared" si="1"/>
        <v>519316665223.09369</v>
      </c>
      <c r="O49" s="63">
        <f t="shared" si="1"/>
        <v>82762492707.82962</v>
      </c>
      <c r="P49" s="63">
        <f t="shared" si="1"/>
        <v>98811197796.451355</v>
      </c>
      <c r="Q49" s="63">
        <f t="shared" si="1"/>
        <v>33100354354.54195</v>
      </c>
      <c r="S49" s="193">
        <v>2027</v>
      </c>
      <c r="T49" s="63">
        <f t="shared" si="6"/>
        <v>888118950194.87927</v>
      </c>
      <c r="U49" s="63">
        <f t="shared" si="2"/>
        <v>757681871736.08679</v>
      </c>
      <c r="V49" s="63">
        <f t="shared" si="2"/>
        <v>519316665223.09369</v>
      </c>
      <c r="W49" s="63">
        <f t="shared" si="2"/>
        <v>82762492707.82962</v>
      </c>
      <c r="X49" s="63">
        <f t="shared" si="2"/>
        <v>98811197796.451355</v>
      </c>
      <c r="Y49" s="63">
        <f t="shared" si="2"/>
        <v>33100354354.54195</v>
      </c>
      <c r="AA49" s="193">
        <v>2027</v>
      </c>
      <c r="AB49" s="63">
        <f t="shared" si="7"/>
        <v>888118950194.87927</v>
      </c>
      <c r="AC49" s="63">
        <f t="shared" si="3"/>
        <v>757681871736.08679</v>
      </c>
      <c r="AD49" s="63">
        <f t="shared" si="3"/>
        <v>519316665223.09369</v>
      </c>
      <c r="AE49" s="63">
        <f t="shared" si="3"/>
        <v>82762492707.82962</v>
      </c>
      <c r="AF49" s="63">
        <f t="shared" si="3"/>
        <v>98811197796.451355</v>
      </c>
      <c r="AG49" s="63">
        <f t="shared" si="3"/>
        <v>33100354354.54195</v>
      </c>
    </row>
    <row r="50" spans="1:33">
      <c r="A50" s="256"/>
      <c r="B50" s="257"/>
      <c r="C50" s="193">
        <v>2028</v>
      </c>
      <c r="D50" s="63">
        <f t="shared" si="4"/>
        <v>921458195486.06995</v>
      </c>
      <c r="E50" s="63">
        <f t="shared" si="0"/>
        <v>786124617799.49976</v>
      </c>
      <c r="F50" s="63">
        <f t="shared" si="0"/>
        <v>538811380071.68097</v>
      </c>
      <c r="G50" s="63">
        <f t="shared" si="0"/>
        <v>85869327715.337616</v>
      </c>
      <c r="H50" s="63">
        <f t="shared" si="0"/>
        <v>102520487819.06531</v>
      </c>
      <c r="I50" s="63">
        <f t="shared" si="0"/>
        <v>34342914073.382828</v>
      </c>
      <c r="K50" s="193">
        <v>2028</v>
      </c>
      <c r="L50" s="63">
        <f t="shared" si="5"/>
        <v>921458195486.06995</v>
      </c>
      <c r="M50" s="63">
        <f t="shared" si="1"/>
        <v>786124617799.49976</v>
      </c>
      <c r="N50" s="63">
        <f t="shared" si="1"/>
        <v>538811380071.68097</v>
      </c>
      <c r="O50" s="63">
        <f t="shared" si="1"/>
        <v>85869327715.337616</v>
      </c>
      <c r="P50" s="63">
        <f t="shared" si="1"/>
        <v>102520487819.06531</v>
      </c>
      <c r="Q50" s="63">
        <f t="shared" si="1"/>
        <v>34342914073.382828</v>
      </c>
      <c r="S50" s="193">
        <v>2028</v>
      </c>
      <c r="T50" s="63">
        <f t="shared" si="6"/>
        <v>921458195486.06995</v>
      </c>
      <c r="U50" s="63">
        <f t="shared" si="2"/>
        <v>786124617799.49976</v>
      </c>
      <c r="V50" s="63">
        <f t="shared" si="2"/>
        <v>538811380071.68097</v>
      </c>
      <c r="W50" s="63">
        <f t="shared" si="2"/>
        <v>85869327715.337616</v>
      </c>
      <c r="X50" s="63">
        <f t="shared" si="2"/>
        <v>102520487819.06531</v>
      </c>
      <c r="Y50" s="63">
        <f t="shared" si="2"/>
        <v>34342914073.382828</v>
      </c>
      <c r="AA50" s="193">
        <v>2028</v>
      </c>
      <c r="AB50" s="63">
        <f t="shared" si="7"/>
        <v>921458195486.06995</v>
      </c>
      <c r="AC50" s="63">
        <f t="shared" si="3"/>
        <v>786124617799.49976</v>
      </c>
      <c r="AD50" s="63">
        <f t="shared" si="3"/>
        <v>538811380071.68097</v>
      </c>
      <c r="AE50" s="63">
        <f t="shared" si="3"/>
        <v>85869327715.337616</v>
      </c>
      <c r="AF50" s="63">
        <f t="shared" si="3"/>
        <v>102520487819.06531</v>
      </c>
      <c r="AG50" s="63">
        <f t="shared" si="3"/>
        <v>34342914073.382828</v>
      </c>
    </row>
    <row r="51" spans="1:33">
      <c r="A51" s="256"/>
      <c r="B51" s="257"/>
      <c r="C51" s="193">
        <v>2029</v>
      </c>
      <c r="D51" s="63">
        <f t="shared" si="4"/>
        <v>956048968262.78748</v>
      </c>
      <c r="E51" s="63">
        <f t="shared" si="0"/>
        <v>815635080847.84485</v>
      </c>
      <c r="F51" s="63">
        <f t="shared" si="0"/>
        <v>559037910270.0885</v>
      </c>
      <c r="G51" s="63">
        <f t="shared" si="0"/>
        <v>89092790719.998291</v>
      </c>
      <c r="H51" s="63">
        <f t="shared" si="0"/>
        <v>106369021498.05318</v>
      </c>
      <c r="I51" s="63">
        <f t="shared" si="0"/>
        <v>35632118448.602562</v>
      </c>
      <c r="K51" s="193">
        <v>2029</v>
      </c>
      <c r="L51" s="63">
        <f t="shared" si="5"/>
        <v>956048968262.78748</v>
      </c>
      <c r="M51" s="63">
        <f t="shared" si="1"/>
        <v>815635080847.84485</v>
      </c>
      <c r="N51" s="63">
        <f t="shared" si="1"/>
        <v>559037910270.0885</v>
      </c>
      <c r="O51" s="63">
        <f t="shared" si="1"/>
        <v>89092790719.998291</v>
      </c>
      <c r="P51" s="63">
        <f t="shared" si="1"/>
        <v>106369021498.05318</v>
      </c>
      <c r="Q51" s="63">
        <f t="shared" si="1"/>
        <v>35632118448.602562</v>
      </c>
      <c r="S51" s="193">
        <v>2029</v>
      </c>
      <c r="T51" s="63">
        <f t="shared" si="6"/>
        <v>956048968262.78748</v>
      </c>
      <c r="U51" s="63">
        <f t="shared" si="2"/>
        <v>815635080847.84485</v>
      </c>
      <c r="V51" s="63">
        <f t="shared" si="2"/>
        <v>559037910270.0885</v>
      </c>
      <c r="W51" s="63">
        <f t="shared" si="2"/>
        <v>89092790719.998291</v>
      </c>
      <c r="X51" s="63">
        <f t="shared" si="2"/>
        <v>106369021498.05318</v>
      </c>
      <c r="Y51" s="63">
        <f t="shared" si="2"/>
        <v>35632118448.602562</v>
      </c>
      <c r="AA51" s="193">
        <v>2029</v>
      </c>
      <c r="AB51" s="63">
        <f t="shared" si="7"/>
        <v>956048968262.78748</v>
      </c>
      <c r="AC51" s="63">
        <f t="shared" si="3"/>
        <v>815635080847.84485</v>
      </c>
      <c r="AD51" s="63">
        <f t="shared" si="3"/>
        <v>559037910270.0885</v>
      </c>
      <c r="AE51" s="63">
        <f t="shared" si="3"/>
        <v>89092790719.998291</v>
      </c>
      <c r="AF51" s="63">
        <f t="shared" si="3"/>
        <v>106369021498.05318</v>
      </c>
      <c r="AG51" s="63">
        <f t="shared" si="3"/>
        <v>35632118448.602562</v>
      </c>
    </row>
    <row r="52" spans="1:33">
      <c r="A52" s="256"/>
      <c r="B52" s="257"/>
      <c r="C52" s="193">
        <v>2030</v>
      </c>
      <c r="D52" s="63">
        <f t="shared" si="4"/>
        <v>991938249823.89893</v>
      </c>
      <c r="E52" s="63">
        <f t="shared" si="0"/>
        <v>846253342086.97229</v>
      </c>
      <c r="F52" s="63">
        <f t="shared" si="0"/>
        <v>580023727556.70239</v>
      </c>
      <c r="G52" s="63">
        <f t="shared" si="0"/>
        <v>92437259839.634766</v>
      </c>
      <c r="H52" s="63">
        <f t="shared" si="0"/>
        <v>110362025924.23885</v>
      </c>
      <c r="I52" s="63">
        <f t="shared" si="0"/>
        <v>36969718481.731064</v>
      </c>
      <c r="K52" s="193">
        <v>2030</v>
      </c>
      <c r="L52" s="63">
        <f t="shared" si="5"/>
        <v>991938249823.89893</v>
      </c>
      <c r="M52" s="63">
        <f t="shared" si="1"/>
        <v>846253342086.97229</v>
      </c>
      <c r="N52" s="63">
        <f t="shared" si="1"/>
        <v>580023727556.70239</v>
      </c>
      <c r="O52" s="63">
        <f t="shared" si="1"/>
        <v>92437259839.634766</v>
      </c>
      <c r="P52" s="63">
        <f t="shared" si="1"/>
        <v>110362025924.23885</v>
      </c>
      <c r="Q52" s="63">
        <f t="shared" si="1"/>
        <v>36969718481.731064</v>
      </c>
      <c r="S52" s="193">
        <v>2030</v>
      </c>
      <c r="T52" s="63">
        <f t="shared" si="6"/>
        <v>991938249823.89893</v>
      </c>
      <c r="U52" s="63">
        <f t="shared" si="2"/>
        <v>846253342086.97229</v>
      </c>
      <c r="V52" s="63">
        <f t="shared" si="2"/>
        <v>580023727556.70239</v>
      </c>
      <c r="W52" s="63">
        <f t="shared" si="2"/>
        <v>92437259839.634766</v>
      </c>
      <c r="X52" s="63">
        <f t="shared" si="2"/>
        <v>110362025924.23885</v>
      </c>
      <c r="Y52" s="63">
        <f t="shared" si="2"/>
        <v>36969718481.731064</v>
      </c>
      <c r="AA52" s="193">
        <v>2030</v>
      </c>
      <c r="AB52" s="63">
        <f t="shared" si="7"/>
        <v>991938249823.89893</v>
      </c>
      <c r="AC52" s="63">
        <f t="shared" si="3"/>
        <v>846253342086.97229</v>
      </c>
      <c r="AD52" s="63">
        <f t="shared" si="3"/>
        <v>580023727556.70239</v>
      </c>
      <c r="AE52" s="63">
        <f t="shared" si="3"/>
        <v>92437259839.634766</v>
      </c>
      <c r="AF52" s="63">
        <f t="shared" si="3"/>
        <v>110362025924.23885</v>
      </c>
      <c r="AG52" s="63">
        <f t="shared" si="3"/>
        <v>36969718481.731064</v>
      </c>
    </row>
    <row r="53" spans="1:33">
      <c r="A53" s="256"/>
      <c r="B53" s="257"/>
      <c r="C53" s="193">
        <v>2040</v>
      </c>
      <c r="D53" s="63">
        <f t="shared" si="4"/>
        <v>1433935572068.6199</v>
      </c>
      <c r="E53" s="63">
        <f t="shared" si="0"/>
        <v>1223334991281.8613</v>
      </c>
      <c r="F53" s="63">
        <f t="shared" si="0"/>
        <v>838476241575.57178</v>
      </c>
      <c r="G53" s="63">
        <f t="shared" si="0"/>
        <v>133626337216.18668</v>
      </c>
      <c r="H53" s="63">
        <f t="shared" si="0"/>
        <v>159538191824.36017</v>
      </c>
      <c r="I53" s="63">
        <f t="shared" si="0"/>
        <v>53443038848.162415</v>
      </c>
      <c r="K53" s="193">
        <v>2040</v>
      </c>
      <c r="L53" s="63">
        <f t="shared" si="5"/>
        <v>1433935572068.6199</v>
      </c>
      <c r="M53" s="63">
        <f t="shared" si="1"/>
        <v>1223334991281.8613</v>
      </c>
      <c r="N53" s="63">
        <f t="shared" si="1"/>
        <v>838476241575.57178</v>
      </c>
      <c r="O53" s="63">
        <f t="shared" si="1"/>
        <v>133626337216.18668</v>
      </c>
      <c r="P53" s="63">
        <f t="shared" si="1"/>
        <v>159538191824.36017</v>
      </c>
      <c r="Q53" s="63">
        <f t="shared" si="1"/>
        <v>53443038848.162415</v>
      </c>
      <c r="S53" s="193">
        <v>2040</v>
      </c>
      <c r="T53" s="63">
        <f t="shared" si="6"/>
        <v>1433935572068.6199</v>
      </c>
      <c r="U53" s="63">
        <f t="shared" si="2"/>
        <v>1223334991281.8613</v>
      </c>
      <c r="V53" s="63">
        <f t="shared" si="2"/>
        <v>838476241575.57178</v>
      </c>
      <c r="W53" s="63">
        <f t="shared" si="2"/>
        <v>133626337216.18668</v>
      </c>
      <c r="X53" s="63">
        <f t="shared" si="2"/>
        <v>159538191824.36017</v>
      </c>
      <c r="Y53" s="63">
        <f t="shared" si="2"/>
        <v>53443038848.162415</v>
      </c>
      <c r="AA53" s="193">
        <v>2040</v>
      </c>
      <c r="AB53" s="63">
        <f t="shared" si="7"/>
        <v>1433935572068.6199</v>
      </c>
      <c r="AC53" s="63">
        <f t="shared" si="3"/>
        <v>1223334991281.8613</v>
      </c>
      <c r="AD53" s="63">
        <f t="shared" si="3"/>
        <v>838476241575.57178</v>
      </c>
      <c r="AE53" s="63">
        <f t="shared" si="3"/>
        <v>133626337216.18668</v>
      </c>
      <c r="AF53" s="63">
        <f t="shared" si="3"/>
        <v>159538191824.36017</v>
      </c>
      <c r="AG53" s="63">
        <f t="shared" si="3"/>
        <v>53443038848.162415</v>
      </c>
    </row>
    <row r="54" spans="1:33">
      <c r="A54" s="256"/>
      <c r="B54" s="257"/>
      <c r="C54" s="193">
        <v>2050</v>
      </c>
      <c r="D54" s="63">
        <f t="shared" si="4"/>
        <v>2072882283961.5237</v>
      </c>
      <c r="E54" s="63">
        <f t="shared" si="0"/>
        <v>1768440284328.929</v>
      </c>
      <c r="F54" s="63">
        <f t="shared" si="0"/>
        <v>1212092496022.877</v>
      </c>
      <c r="G54" s="63">
        <f t="shared" si="0"/>
        <v>193168837206.89688</v>
      </c>
      <c r="H54" s="63">
        <f t="shared" si="0"/>
        <v>230626743550.89212</v>
      </c>
      <c r="I54" s="63">
        <f t="shared" si="0"/>
        <v>77256698688.078857</v>
      </c>
      <c r="K54" s="193">
        <v>2050</v>
      </c>
      <c r="L54" s="63">
        <f t="shared" si="5"/>
        <v>2072882283961.5237</v>
      </c>
      <c r="M54" s="63">
        <f t="shared" si="1"/>
        <v>1768440284328.929</v>
      </c>
      <c r="N54" s="63">
        <f t="shared" si="1"/>
        <v>1212092496022.877</v>
      </c>
      <c r="O54" s="63">
        <f t="shared" si="1"/>
        <v>193168837206.89688</v>
      </c>
      <c r="P54" s="63">
        <f t="shared" si="1"/>
        <v>230626743550.89212</v>
      </c>
      <c r="Q54" s="63">
        <f t="shared" si="1"/>
        <v>77256698688.078857</v>
      </c>
      <c r="S54" s="193">
        <v>2050</v>
      </c>
      <c r="T54" s="63">
        <f t="shared" si="6"/>
        <v>2072882283961.5237</v>
      </c>
      <c r="U54" s="63">
        <f t="shared" si="2"/>
        <v>1768440284328.929</v>
      </c>
      <c r="V54" s="63">
        <f t="shared" si="2"/>
        <v>1212092496022.877</v>
      </c>
      <c r="W54" s="63">
        <f t="shared" si="2"/>
        <v>193168837206.89688</v>
      </c>
      <c r="X54" s="63">
        <f t="shared" si="2"/>
        <v>230626743550.89212</v>
      </c>
      <c r="Y54" s="63">
        <f t="shared" si="2"/>
        <v>77256698688.078857</v>
      </c>
      <c r="AA54" s="193">
        <v>2050</v>
      </c>
      <c r="AB54" s="63">
        <f t="shared" si="7"/>
        <v>2072882283961.5237</v>
      </c>
      <c r="AC54" s="63">
        <f t="shared" si="3"/>
        <v>1768440284328.929</v>
      </c>
      <c r="AD54" s="63">
        <f t="shared" si="3"/>
        <v>1212092496022.877</v>
      </c>
      <c r="AE54" s="63">
        <f t="shared" si="3"/>
        <v>193168837206.89688</v>
      </c>
      <c r="AF54" s="63">
        <f t="shared" si="3"/>
        <v>230626743550.89212</v>
      </c>
      <c r="AG54" s="63">
        <f t="shared" si="3"/>
        <v>77256698688.078857</v>
      </c>
    </row>
    <row r="55" spans="1:33">
      <c r="A55" s="256"/>
      <c r="B55" s="257"/>
      <c r="C55" s="193">
        <v>2060</v>
      </c>
      <c r="D55" s="63">
        <f t="shared" si="4"/>
        <v>2996536976178.6768</v>
      </c>
      <c r="E55" s="63">
        <f t="shared" si="0"/>
        <v>2556438801738.5024</v>
      </c>
      <c r="F55" s="63">
        <f t="shared" si="0"/>
        <v>1752188250622.665</v>
      </c>
      <c r="G55" s="63">
        <f t="shared" si="0"/>
        <v>279242853207.11926</v>
      </c>
      <c r="H55" s="63">
        <f t="shared" si="0"/>
        <v>333391611329.3161</v>
      </c>
      <c r="I55" s="63">
        <f t="shared" si="0"/>
        <v>111681476593.01431</v>
      </c>
      <c r="K55" s="193">
        <v>2060</v>
      </c>
      <c r="L55" s="63">
        <f t="shared" si="5"/>
        <v>2996536976178.6768</v>
      </c>
      <c r="M55" s="63">
        <f t="shared" si="1"/>
        <v>2556438801738.5024</v>
      </c>
      <c r="N55" s="63">
        <f t="shared" si="1"/>
        <v>1752188250622.665</v>
      </c>
      <c r="O55" s="63">
        <f t="shared" si="1"/>
        <v>279242853207.11926</v>
      </c>
      <c r="P55" s="63">
        <f t="shared" si="1"/>
        <v>333391611329.3161</v>
      </c>
      <c r="Q55" s="63">
        <f t="shared" si="1"/>
        <v>111681476593.01431</v>
      </c>
      <c r="S55" s="193">
        <v>2060</v>
      </c>
      <c r="T55" s="63">
        <f t="shared" si="6"/>
        <v>2996536976178.6768</v>
      </c>
      <c r="U55" s="63">
        <f t="shared" si="2"/>
        <v>2556438801738.5024</v>
      </c>
      <c r="V55" s="63">
        <f t="shared" si="2"/>
        <v>1752188250622.665</v>
      </c>
      <c r="W55" s="63">
        <f t="shared" si="2"/>
        <v>279242853207.11926</v>
      </c>
      <c r="X55" s="63">
        <f t="shared" si="2"/>
        <v>333391611329.3161</v>
      </c>
      <c r="Y55" s="63">
        <f t="shared" si="2"/>
        <v>111681476593.01431</v>
      </c>
      <c r="AA55" s="193">
        <v>2060</v>
      </c>
      <c r="AB55" s="63">
        <f t="shared" si="7"/>
        <v>2996536976178.6768</v>
      </c>
      <c r="AC55" s="63">
        <f t="shared" si="3"/>
        <v>2556438801738.5024</v>
      </c>
      <c r="AD55" s="63">
        <f t="shared" si="3"/>
        <v>1752188250622.665</v>
      </c>
      <c r="AE55" s="63">
        <f t="shared" si="3"/>
        <v>279242853207.11926</v>
      </c>
      <c r="AF55" s="63">
        <f t="shared" si="3"/>
        <v>333391611329.3161</v>
      </c>
      <c r="AG55" s="63">
        <f t="shared" si="3"/>
        <v>111681476593.01431</v>
      </c>
    </row>
    <row r="56" spans="1:33">
      <c r="A56" s="256"/>
      <c r="B56" s="257"/>
      <c r="C56" s="193">
        <v>2070</v>
      </c>
      <c r="D56" s="63">
        <f t="shared" si="4"/>
        <v>4331762550667.2129</v>
      </c>
      <c r="E56" s="63">
        <f t="shared" si="0"/>
        <v>3695561227001.8916</v>
      </c>
      <c r="F56" s="63">
        <f t="shared" si="0"/>
        <v>2532945031582.9438</v>
      </c>
      <c r="G56" s="63">
        <f t="shared" si="0"/>
        <v>403670551600.07294</v>
      </c>
      <c r="H56" s="63">
        <f t="shared" si="0"/>
        <v>481947430698.68848</v>
      </c>
      <c r="I56" s="63">
        <f t="shared" si="0"/>
        <v>161445575928.04077</v>
      </c>
      <c r="K56" s="193">
        <v>2070</v>
      </c>
      <c r="L56" s="63">
        <f t="shared" si="5"/>
        <v>4331762550667.2129</v>
      </c>
      <c r="M56" s="63">
        <f t="shared" si="1"/>
        <v>3695561227001.8916</v>
      </c>
      <c r="N56" s="63">
        <f t="shared" si="1"/>
        <v>2532945031582.9438</v>
      </c>
      <c r="O56" s="63">
        <f t="shared" si="1"/>
        <v>403670551600.07294</v>
      </c>
      <c r="P56" s="63">
        <f t="shared" si="1"/>
        <v>481947430698.68848</v>
      </c>
      <c r="Q56" s="63">
        <f t="shared" si="1"/>
        <v>161445575928.04077</v>
      </c>
      <c r="S56" s="193">
        <v>2070</v>
      </c>
      <c r="T56" s="63">
        <f t="shared" si="6"/>
        <v>4331762550667.2129</v>
      </c>
      <c r="U56" s="63">
        <f t="shared" si="2"/>
        <v>3695561227001.8916</v>
      </c>
      <c r="V56" s="63">
        <f t="shared" si="2"/>
        <v>2532945031582.9438</v>
      </c>
      <c r="W56" s="63">
        <f t="shared" si="2"/>
        <v>403670551600.07294</v>
      </c>
      <c r="X56" s="63">
        <f t="shared" si="2"/>
        <v>481947430698.68848</v>
      </c>
      <c r="Y56" s="63">
        <f t="shared" si="2"/>
        <v>161445575928.04077</v>
      </c>
      <c r="AA56" s="193">
        <v>2070</v>
      </c>
      <c r="AB56" s="63">
        <f t="shared" si="7"/>
        <v>4331762550667.2129</v>
      </c>
      <c r="AC56" s="63">
        <f t="shared" si="3"/>
        <v>3695561227001.8916</v>
      </c>
      <c r="AD56" s="63">
        <f t="shared" si="3"/>
        <v>2532945031582.9438</v>
      </c>
      <c r="AE56" s="63">
        <f t="shared" si="3"/>
        <v>403670551600.07294</v>
      </c>
      <c r="AF56" s="63">
        <f t="shared" si="3"/>
        <v>481947430698.68848</v>
      </c>
      <c r="AG56" s="63">
        <f t="shared" si="3"/>
        <v>161445575928.04077</v>
      </c>
    </row>
    <row r="57" spans="1:33">
      <c r="A57" s="256"/>
      <c r="B57" s="257"/>
      <c r="C57" s="193">
        <v>2080</v>
      </c>
      <c r="D57" s="63">
        <f t="shared" si="4"/>
        <v>6261950693260.543</v>
      </c>
      <c r="E57" s="63">
        <f t="shared" si="0"/>
        <v>5342264705586.6094</v>
      </c>
      <c r="F57" s="63">
        <f t="shared" si="0"/>
        <v>3661598878283.0669</v>
      </c>
      <c r="G57" s="63">
        <f t="shared" si="0"/>
        <v>583541932613.91858</v>
      </c>
      <c r="H57" s="63">
        <f t="shared" si="0"/>
        <v>696698171351.50769</v>
      </c>
      <c r="I57" s="63">
        <f t="shared" si="0"/>
        <v>233384038086.4657</v>
      </c>
      <c r="K57" s="193">
        <v>2080</v>
      </c>
      <c r="L57" s="63">
        <f t="shared" si="5"/>
        <v>6261950693260.543</v>
      </c>
      <c r="M57" s="63">
        <f t="shared" si="1"/>
        <v>5342264705586.6094</v>
      </c>
      <c r="N57" s="63">
        <f t="shared" si="1"/>
        <v>3661598878283.0669</v>
      </c>
      <c r="O57" s="63">
        <f t="shared" si="1"/>
        <v>583541932613.91858</v>
      </c>
      <c r="P57" s="63">
        <f t="shared" si="1"/>
        <v>696698171351.50769</v>
      </c>
      <c r="Q57" s="63">
        <f t="shared" si="1"/>
        <v>233384038086.4657</v>
      </c>
      <c r="S57" s="193">
        <v>2080</v>
      </c>
      <c r="T57" s="63">
        <f t="shared" si="6"/>
        <v>6261950693260.543</v>
      </c>
      <c r="U57" s="63">
        <f t="shared" si="2"/>
        <v>5342264705586.6094</v>
      </c>
      <c r="V57" s="63">
        <f t="shared" si="2"/>
        <v>3661598878283.0669</v>
      </c>
      <c r="W57" s="63">
        <f t="shared" si="2"/>
        <v>583541932613.91858</v>
      </c>
      <c r="X57" s="63">
        <f t="shared" si="2"/>
        <v>696698171351.50769</v>
      </c>
      <c r="Y57" s="63">
        <f t="shared" si="2"/>
        <v>233384038086.4657</v>
      </c>
      <c r="AA57" s="193">
        <v>2080</v>
      </c>
      <c r="AB57" s="63">
        <f t="shared" si="7"/>
        <v>6261950693260.543</v>
      </c>
      <c r="AC57" s="63">
        <f t="shared" si="3"/>
        <v>5342264705586.6094</v>
      </c>
      <c r="AD57" s="63">
        <f t="shared" si="3"/>
        <v>3661598878283.0669</v>
      </c>
      <c r="AE57" s="63">
        <f t="shared" si="3"/>
        <v>583541932613.91858</v>
      </c>
      <c r="AF57" s="63">
        <f t="shared" si="3"/>
        <v>696698171351.50769</v>
      </c>
      <c r="AG57" s="63">
        <f t="shared" si="3"/>
        <v>233384038086.4657</v>
      </c>
    </row>
    <row r="58" spans="1:33">
      <c r="A58" s="256"/>
      <c r="B58" s="257"/>
      <c r="C58" s="193">
        <v>2090</v>
      </c>
      <c r="D58" s="63">
        <f t="shared" si="4"/>
        <v>9052210509273.2852</v>
      </c>
      <c r="E58" s="63">
        <f t="shared" si="0"/>
        <v>7722722052614.9805</v>
      </c>
      <c r="F58" s="63">
        <f t="shared" si="0"/>
        <v>5293169089052.4473</v>
      </c>
      <c r="G58" s="63">
        <f t="shared" si="0"/>
        <v>843562122054.7948</v>
      </c>
      <c r="H58" s="63">
        <f t="shared" si="0"/>
        <v>1007139598733.5339</v>
      </c>
      <c r="I58" s="63">
        <f t="shared" si="0"/>
        <v>337377527506.9928</v>
      </c>
      <c r="K58" s="193">
        <v>2090</v>
      </c>
      <c r="L58" s="63">
        <f t="shared" si="5"/>
        <v>9052210509273.2852</v>
      </c>
      <c r="M58" s="63">
        <f t="shared" si="1"/>
        <v>7722722052614.9805</v>
      </c>
      <c r="N58" s="63">
        <f t="shared" si="1"/>
        <v>5293169089052.4473</v>
      </c>
      <c r="O58" s="63">
        <f t="shared" si="1"/>
        <v>843562122054.7948</v>
      </c>
      <c r="P58" s="63">
        <f t="shared" si="1"/>
        <v>1007139598733.5339</v>
      </c>
      <c r="Q58" s="63">
        <f t="shared" si="1"/>
        <v>337377527506.9928</v>
      </c>
      <c r="S58" s="193">
        <v>2090</v>
      </c>
      <c r="T58" s="63">
        <f t="shared" si="6"/>
        <v>9052210509273.2852</v>
      </c>
      <c r="U58" s="63">
        <f t="shared" si="2"/>
        <v>7722722052614.9805</v>
      </c>
      <c r="V58" s="63">
        <f t="shared" si="2"/>
        <v>5293169089052.4473</v>
      </c>
      <c r="W58" s="63">
        <f t="shared" si="2"/>
        <v>843562122054.7948</v>
      </c>
      <c r="X58" s="63">
        <f t="shared" si="2"/>
        <v>1007139598733.5339</v>
      </c>
      <c r="Y58" s="63">
        <f t="shared" si="2"/>
        <v>337377527506.9928</v>
      </c>
      <c r="AA58" s="193">
        <v>2090</v>
      </c>
      <c r="AB58" s="63">
        <f t="shared" si="7"/>
        <v>9052210509273.2852</v>
      </c>
      <c r="AC58" s="63">
        <f t="shared" si="3"/>
        <v>7722722052614.9805</v>
      </c>
      <c r="AD58" s="63">
        <f t="shared" si="3"/>
        <v>5293169089052.4473</v>
      </c>
      <c r="AE58" s="63">
        <f t="shared" si="3"/>
        <v>843562122054.7948</v>
      </c>
      <c r="AF58" s="63">
        <f t="shared" si="3"/>
        <v>1007139598733.5339</v>
      </c>
      <c r="AG58" s="63">
        <f t="shared" si="3"/>
        <v>337377527506.9928</v>
      </c>
    </row>
    <row r="59" spans="1:33">
      <c r="A59" s="256"/>
      <c r="B59" s="257"/>
      <c r="C59" s="193">
        <v>2100</v>
      </c>
      <c r="D59" s="63">
        <f t="shared" si="4"/>
        <v>13085780951994.523</v>
      </c>
      <c r="E59" s="63">
        <f t="shared" ref="E59" si="8">E58*(1+$B$15)^($C59-$C58)</f>
        <v>11163886327006.123</v>
      </c>
      <c r="F59" s="63">
        <f t="shared" ref="F59" si="9">F58*(1+$B$15)^($C59-$C58)</f>
        <v>7651749942210.4531</v>
      </c>
      <c r="G59" s="63">
        <f t="shared" ref="G59" si="10">G58*(1+$B$15)^($C59-$C58)</f>
        <v>1219444591716.0737</v>
      </c>
      <c r="H59" s="63">
        <f t="shared" ref="H59" si="11">H58*(1+$B$15)^($C59-$C58)</f>
        <v>1455910483257.7207</v>
      </c>
      <c r="I59" s="63">
        <f t="shared" ref="I59" si="12">I58*(1+$B$15)^($C59-$C58)</f>
        <v>487709429487.89648</v>
      </c>
      <c r="K59" s="193">
        <v>2100</v>
      </c>
      <c r="L59" s="63">
        <f t="shared" si="5"/>
        <v>13085780951994.523</v>
      </c>
      <c r="M59" s="63">
        <f t="shared" ref="M59" si="13">M58*(1+$B$15)^($K59-$K58)</f>
        <v>11163886327006.123</v>
      </c>
      <c r="N59" s="63">
        <f t="shared" ref="N59" si="14">N58*(1+$B$15)^($K59-$K58)</f>
        <v>7651749942210.4531</v>
      </c>
      <c r="O59" s="63">
        <f t="shared" ref="O59" si="15">O58*(1+$B$15)^($K59-$K58)</f>
        <v>1219444591716.0737</v>
      </c>
      <c r="P59" s="63">
        <f t="shared" ref="P59" si="16">P58*(1+$B$15)^($K59-$K58)</f>
        <v>1455910483257.7207</v>
      </c>
      <c r="Q59" s="63">
        <f t="shared" ref="Q59" si="17">Q58*(1+$B$15)^($K59-$K58)</f>
        <v>487709429487.89648</v>
      </c>
      <c r="S59" s="193">
        <v>2100</v>
      </c>
      <c r="T59" s="63">
        <f t="shared" si="6"/>
        <v>13085780951994.523</v>
      </c>
      <c r="U59" s="63">
        <f t="shared" ref="U59" si="18">U58*(1+$B$15)^($S59-$S58)</f>
        <v>11163886327006.123</v>
      </c>
      <c r="V59" s="63">
        <f t="shared" ref="V59" si="19">V58*(1+$B$15)^($S59-$S58)</f>
        <v>7651749942210.4531</v>
      </c>
      <c r="W59" s="63">
        <f t="shared" ref="W59" si="20">W58*(1+$B$15)^($S59-$S58)</f>
        <v>1219444591716.0737</v>
      </c>
      <c r="X59" s="63">
        <f t="shared" ref="X59" si="21">X58*(1+$B$15)^($S59-$S58)</f>
        <v>1455910483257.7207</v>
      </c>
      <c r="Y59" s="63">
        <f t="shared" ref="Y59" si="22">Y58*(1+$B$15)^($S59-$S58)</f>
        <v>487709429487.89648</v>
      </c>
      <c r="AA59" s="193">
        <v>2100</v>
      </c>
      <c r="AB59" s="63">
        <f t="shared" si="7"/>
        <v>13085780951994.523</v>
      </c>
      <c r="AC59" s="63">
        <f t="shared" ref="AC59" si="23">AC58*(1+$B$15)^($AA59-$AA58)</f>
        <v>11163886327006.123</v>
      </c>
      <c r="AD59" s="63">
        <f t="shared" ref="AD59" si="24">AD58*(1+$B$15)^($AA59-$AA58)</f>
        <v>7651749942210.4531</v>
      </c>
      <c r="AE59" s="63">
        <f t="shared" ref="AE59" si="25">AE58*(1+$B$15)^($AA59-$AA58)</f>
        <v>1219444591716.0737</v>
      </c>
      <c r="AF59" s="63">
        <f t="shared" ref="AF59" si="26">AF58*(1+$B$15)^($AA59-$AA58)</f>
        <v>1455910483257.7207</v>
      </c>
      <c r="AG59" s="63">
        <f t="shared" ref="AG59" si="27">AG58*(1+$B$15)^($AA59-$AA58)</f>
        <v>487709429487.89648</v>
      </c>
    </row>
    <row r="60" spans="1:33">
      <c r="A60" s="205"/>
      <c r="B60" s="205"/>
      <c r="C60" s="210" t="s">
        <v>88</v>
      </c>
      <c r="D60" s="264" t="s">
        <v>246</v>
      </c>
      <c r="E60" s="264"/>
      <c r="F60" s="264"/>
      <c r="G60" s="264"/>
      <c r="H60" s="264"/>
      <c r="I60" s="265"/>
      <c r="K60" s="210" t="s">
        <v>88</v>
      </c>
      <c r="L60" s="264" t="s">
        <v>246</v>
      </c>
      <c r="M60" s="264"/>
      <c r="N60" s="264"/>
      <c r="O60" s="264"/>
      <c r="P60" s="264"/>
      <c r="Q60" s="265"/>
      <c r="S60" s="210" t="s">
        <v>88</v>
      </c>
      <c r="T60" s="272" t="s">
        <v>246</v>
      </c>
      <c r="U60" s="272"/>
      <c r="V60" s="272"/>
      <c r="W60" s="272"/>
      <c r="X60" s="272"/>
      <c r="Y60" s="272"/>
      <c r="AA60" s="210" t="s">
        <v>88</v>
      </c>
      <c r="AB60" s="265" t="s">
        <v>246</v>
      </c>
      <c r="AC60" s="272"/>
      <c r="AD60" s="272"/>
      <c r="AE60" s="272"/>
      <c r="AF60" s="272"/>
      <c r="AG60" s="272"/>
    </row>
    <row r="61" spans="1:33">
      <c r="A61" s="256"/>
      <c r="B61" s="257"/>
      <c r="C61" s="193">
        <v>2020</v>
      </c>
      <c r="D61" s="62">
        <f>'Demographic-Economic'!B31</f>
        <v>1920</v>
      </c>
      <c r="E61" s="62">
        <f>'Demographic-Economic'!C31</f>
        <v>1829</v>
      </c>
      <c r="F61" s="62">
        <f>'Demographic-Economic'!D31</f>
        <v>1925</v>
      </c>
      <c r="G61" s="62">
        <f>'Demographic-Economic'!E31</f>
        <v>1639</v>
      </c>
      <c r="H61" s="62">
        <f>'Demographic-Economic'!F31</f>
        <v>1599</v>
      </c>
      <c r="I61" s="196">
        <f>'Demographic-Economic'!G31</f>
        <v>1653</v>
      </c>
      <c r="K61" s="193">
        <v>2020</v>
      </c>
      <c r="L61" s="62">
        <f>'Demographic-Economic'!B31</f>
        <v>1920</v>
      </c>
      <c r="M61" s="62">
        <f>'Demographic-Economic'!C31</f>
        <v>1829</v>
      </c>
      <c r="N61" s="62">
        <f>'Demographic-Economic'!D31</f>
        <v>1925</v>
      </c>
      <c r="O61" s="62">
        <f>'Demographic-Economic'!E31</f>
        <v>1639</v>
      </c>
      <c r="P61" s="62">
        <f>'Demographic-Economic'!F31</f>
        <v>1599</v>
      </c>
      <c r="Q61" s="196">
        <f>'Demographic-Economic'!G31</f>
        <v>1653</v>
      </c>
      <c r="S61" s="193">
        <v>2020</v>
      </c>
      <c r="T61" s="62">
        <f>'Demographic-Economic'!B31</f>
        <v>1920</v>
      </c>
      <c r="U61" s="62">
        <f>'Demographic-Economic'!C31</f>
        <v>1829</v>
      </c>
      <c r="V61" s="62">
        <f>'Demographic-Economic'!D31</f>
        <v>1925</v>
      </c>
      <c r="W61" s="62">
        <f>'Demographic-Economic'!E31</f>
        <v>1639</v>
      </c>
      <c r="X61" s="62">
        <f>'Demographic-Economic'!F31</f>
        <v>1599</v>
      </c>
      <c r="Y61" s="196">
        <f>'Demographic-Economic'!G31</f>
        <v>1653</v>
      </c>
      <c r="AA61" s="193">
        <v>2020</v>
      </c>
      <c r="AB61" s="62">
        <f>'Demographic-Economic'!B31</f>
        <v>1920</v>
      </c>
      <c r="AC61" s="62">
        <f>'Demographic-Economic'!C31</f>
        <v>1829</v>
      </c>
      <c r="AD61" s="62">
        <f>'Demographic-Economic'!D31</f>
        <v>1925</v>
      </c>
      <c r="AE61" s="62">
        <f>'Demographic-Economic'!E31</f>
        <v>1639</v>
      </c>
      <c r="AF61" s="62">
        <f>'Demographic-Economic'!F31</f>
        <v>1599</v>
      </c>
      <c r="AG61" s="196">
        <f>'Demographic-Economic'!G31</f>
        <v>1653</v>
      </c>
    </row>
    <row r="62" spans="1:33">
      <c r="A62" s="256"/>
      <c r="B62" s="257"/>
      <c r="C62" s="193">
        <v>2021</v>
      </c>
      <c r="D62" s="63">
        <f>D61*(1+$B$15)^($C62-$C61)</f>
        <v>1992.0752</v>
      </c>
      <c r="E62" s="63">
        <f t="shared" ref="E62:I77" si="28">E61*(1+$B$15)^($C62-$C61)</f>
        <v>1897.6591358333333</v>
      </c>
      <c r="F62" s="63">
        <f t="shared" si="28"/>
        <v>1997.2628958333335</v>
      </c>
      <c r="G62" s="63">
        <f t="shared" si="28"/>
        <v>1700.5266941666666</v>
      </c>
      <c r="H62" s="63">
        <f t="shared" si="28"/>
        <v>1659.0251275000001</v>
      </c>
      <c r="I62" s="63">
        <f t="shared" si="28"/>
        <v>1715.0522424999999</v>
      </c>
      <c r="K62" s="193">
        <v>2021</v>
      </c>
      <c r="L62" s="63">
        <f>L61*(1+$B$15)^($K62-$K61)</f>
        <v>1992.0752</v>
      </c>
      <c r="M62" s="63">
        <f t="shared" ref="M62:Q77" si="29">M61*(1+$B$15)^($K62-$K61)</f>
        <v>1897.6591358333333</v>
      </c>
      <c r="N62" s="63">
        <f t="shared" si="29"/>
        <v>1997.2628958333335</v>
      </c>
      <c r="O62" s="63">
        <f t="shared" si="29"/>
        <v>1700.5266941666666</v>
      </c>
      <c r="P62" s="63">
        <f t="shared" si="29"/>
        <v>1659.0251275000001</v>
      </c>
      <c r="Q62" s="63">
        <f t="shared" si="29"/>
        <v>1715.0522424999999</v>
      </c>
      <c r="S62" s="193">
        <v>2021</v>
      </c>
      <c r="T62" s="63">
        <f>T61*(1+$B$15)^($S62-$S61)</f>
        <v>1992.0752</v>
      </c>
      <c r="U62" s="63">
        <f t="shared" ref="U62:Y77" si="30">U61*(1+$B$15)^($S62-$S61)</f>
        <v>1897.6591358333333</v>
      </c>
      <c r="V62" s="63">
        <f t="shared" si="30"/>
        <v>1997.2628958333335</v>
      </c>
      <c r="W62" s="63">
        <f t="shared" si="30"/>
        <v>1700.5266941666666</v>
      </c>
      <c r="X62" s="63">
        <f t="shared" si="30"/>
        <v>1659.0251275000001</v>
      </c>
      <c r="Y62" s="63">
        <f t="shared" si="30"/>
        <v>1715.0522424999999</v>
      </c>
      <c r="AA62" s="193">
        <v>2021</v>
      </c>
      <c r="AB62" s="63">
        <f>AB61*(1+$B$15)^($AA62-$AA61)</f>
        <v>1992.0752</v>
      </c>
      <c r="AC62" s="63">
        <f t="shared" ref="AC62:AG77" si="31">AC61*(1+$B$15)^($AA62-$AA61)</f>
        <v>1897.6591358333333</v>
      </c>
      <c r="AD62" s="63">
        <f t="shared" si="31"/>
        <v>1997.2628958333335</v>
      </c>
      <c r="AE62" s="63">
        <f t="shared" si="31"/>
        <v>1700.5266941666666</v>
      </c>
      <c r="AF62" s="63">
        <f t="shared" si="31"/>
        <v>1659.0251275000001</v>
      </c>
      <c r="AG62" s="63">
        <f t="shared" si="31"/>
        <v>1715.0522424999999</v>
      </c>
    </row>
    <row r="63" spans="1:33">
      <c r="A63" s="256"/>
      <c r="B63" s="257"/>
      <c r="C63" s="193">
        <v>2022</v>
      </c>
      <c r="D63" s="63">
        <f t="shared" ref="D63:D78" si="32">D62*(1+$B$15)^($C63-$C62)</f>
        <v>2066.8560429453332</v>
      </c>
      <c r="E63" s="63">
        <f t="shared" si="28"/>
        <v>1968.8956784099034</v>
      </c>
      <c r="F63" s="63">
        <f t="shared" si="28"/>
        <v>2072.2384805571701</v>
      </c>
      <c r="G63" s="63">
        <f t="shared" si="28"/>
        <v>1764.3630491601048</v>
      </c>
      <c r="H63" s="63">
        <f t="shared" si="28"/>
        <v>1721.3035482654104</v>
      </c>
      <c r="I63" s="63">
        <f t="shared" si="28"/>
        <v>1779.4338744732479</v>
      </c>
      <c r="K63" s="193">
        <v>2022</v>
      </c>
      <c r="L63" s="63">
        <f t="shared" ref="L63:L78" si="33">L62*(1+$B$15)^($K63-$K62)</f>
        <v>2066.8560429453332</v>
      </c>
      <c r="M63" s="63">
        <f t="shared" si="29"/>
        <v>1968.8956784099034</v>
      </c>
      <c r="N63" s="63">
        <f t="shared" si="29"/>
        <v>2072.2384805571701</v>
      </c>
      <c r="O63" s="63">
        <f t="shared" si="29"/>
        <v>1764.3630491601048</v>
      </c>
      <c r="P63" s="63">
        <f t="shared" si="29"/>
        <v>1721.3035482654104</v>
      </c>
      <c r="Q63" s="63">
        <f t="shared" si="29"/>
        <v>1779.4338744732479</v>
      </c>
      <c r="S63" s="193">
        <v>2022</v>
      </c>
      <c r="T63" s="63">
        <f t="shared" ref="T63:T78" si="34">T62*(1+$B$15)^($S63-$S62)</f>
        <v>2066.8560429453332</v>
      </c>
      <c r="U63" s="63">
        <f t="shared" si="30"/>
        <v>1968.8956784099034</v>
      </c>
      <c r="V63" s="63">
        <f t="shared" si="30"/>
        <v>2072.2384805571701</v>
      </c>
      <c r="W63" s="63">
        <f t="shared" si="30"/>
        <v>1764.3630491601048</v>
      </c>
      <c r="X63" s="63">
        <f t="shared" si="30"/>
        <v>1721.3035482654104</v>
      </c>
      <c r="Y63" s="63">
        <f t="shared" si="30"/>
        <v>1779.4338744732479</v>
      </c>
      <c r="AA63" s="193">
        <v>2022</v>
      </c>
      <c r="AB63" s="63">
        <f t="shared" ref="AB63:AB78" si="35">AB62*(1+$B$15)^($AA63-$AA62)</f>
        <v>2066.8560429453332</v>
      </c>
      <c r="AC63" s="63">
        <f t="shared" si="31"/>
        <v>1968.8956784099034</v>
      </c>
      <c r="AD63" s="63">
        <f t="shared" si="31"/>
        <v>2072.2384805571701</v>
      </c>
      <c r="AE63" s="63">
        <f t="shared" si="31"/>
        <v>1764.3630491601048</v>
      </c>
      <c r="AF63" s="63">
        <f t="shared" si="31"/>
        <v>1721.3035482654104</v>
      </c>
      <c r="AG63" s="63">
        <f t="shared" si="31"/>
        <v>1779.4338744732479</v>
      </c>
    </row>
    <row r="64" spans="1:33">
      <c r="A64" s="256"/>
      <c r="B64" s="257"/>
      <c r="C64" s="193">
        <v>2023</v>
      </c>
      <c r="D64" s="63">
        <f t="shared" si="32"/>
        <v>2144.4440964174651</v>
      </c>
      <c r="E64" s="63">
        <f t="shared" si="28"/>
        <v>2042.8063814310126</v>
      </c>
      <c r="F64" s="63">
        <f t="shared" si="28"/>
        <v>2150.0285862518858</v>
      </c>
      <c r="G64" s="63">
        <f t="shared" si="28"/>
        <v>1830.5957677230342</v>
      </c>
      <c r="H64" s="63">
        <f t="shared" si="28"/>
        <v>1785.9198490476704</v>
      </c>
      <c r="I64" s="63">
        <f t="shared" si="28"/>
        <v>1846.2323392594117</v>
      </c>
      <c r="K64" s="193">
        <v>2023</v>
      </c>
      <c r="L64" s="63">
        <f t="shared" si="33"/>
        <v>2144.4440964174651</v>
      </c>
      <c r="M64" s="63">
        <f t="shared" si="29"/>
        <v>2042.8063814310126</v>
      </c>
      <c r="N64" s="63">
        <f t="shared" si="29"/>
        <v>2150.0285862518858</v>
      </c>
      <c r="O64" s="63">
        <f t="shared" si="29"/>
        <v>1830.5957677230342</v>
      </c>
      <c r="P64" s="63">
        <f t="shared" si="29"/>
        <v>1785.9198490476704</v>
      </c>
      <c r="Q64" s="63">
        <f t="shared" si="29"/>
        <v>1846.2323392594117</v>
      </c>
      <c r="S64" s="193">
        <v>2023</v>
      </c>
      <c r="T64" s="63">
        <f t="shared" si="34"/>
        <v>2144.4440964174651</v>
      </c>
      <c r="U64" s="63">
        <f t="shared" si="30"/>
        <v>2042.8063814310126</v>
      </c>
      <c r="V64" s="63">
        <f t="shared" si="30"/>
        <v>2150.0285862518858</v>
      </c>
      <c r="W64" s="63">
        <f t="shared" si="30"/>
        <v>1830.5957677230342</v>
      </c>
      <c r="X64" s="63">
        <f t="shared" si="30"/>
        <v>1785.9198490476704</v>
      </c>
      <c r="Y64" s="63">
        <f t="shared" si="30"/>
        <v>1846.2323392594117</v>
      </c>
      <c r="AA64" s="193">
        <v>2023</v>
      </c>
      <c r="AB64" s="63">
        <f t="shared" si="35"/>
        <v>2144.4440964174651</v>
      </c>
      <c r="AC64" s="63">
        <f t="shared" si="31"/>
        <v>2042.8063814310126</v>
      </c>
      <c r="AD64" s="63">
        <f t="shared" si="31"/>
        <v>2150.0285862518858</v>
      </c>
      <c r="AE64" s="63">
        <f t="shared" si="31"/>
        <v>1830.5957677230342</v>
      </c>
      <c r="AF64" s="63">
        <f t="shared" si="31"/>
        <v>1785.9198490476704</v>
      </c>
      <c r="AG64" s="63">
        <f t="shared" si="31"/>
        <v>1846.2323392594117</v>
      </c>
    </row>
    <row r="65" spans="1:33">
      <c r="A65" s="256"/>
      <c r="B65" s="257"/>
      <c r="C65" s="193">
        <v>2024</v>
      </c>
      <c r="D65" s="63">
        <f t="shared" si="32"/>
        <v>2224.9447407602297</v>
      </c>
      <c r="E65" s="63">
        <f t="shared" si="28"/>
        <v>2119.4916306512819</v>
      </c>
      <c r="F65" s="63">
        <f t="shared" si="28"/>
        <v>2230.7388676892933</v>
      </c>
      <c r="G65" s="63">
        <f t="shared" si="28"/>
        <v>1899.3148073468838</v>
      </c>
      <c r="H65" s="63">
        <f t="shared" si="28"/>
        <v>1852.9617919143791</v>
      </c>
      <c r="I65" s="63">
        <f t="shared" si="28"/>
        <v>1915.5383627482606</v>
      </c>
      <c r="K65" s="193">
        <v>2024</v>
      </c>
      <c r="L65" s="63">
        <f t="shared" si="33"/>
        <v>2224.9447407602297</v>
      </c>
      <c r="M65" s="63">
        <f t="shared" si="29"/>
        <v>2119.4916306512819</v>
      </c>
      <c r="N65" s="63">
        <f t="shared" si="29"/>
        <v>2230.7388676892933</v>
      </c>
      <c r="O65" s="63">
        <f t="shared" si="29"/>
        <v>1899.3148073468838</v>
      </c>
      <c r="P65" s="63">
        <f t="shared" si="29"/>
        <v>1852.9617919143791</v>
      </c>
      <c r="Q65" s="63">
        <f t="shared" si="29"/>
        <v>1915.5383627482606</v>
      </c>
      <c r="S65" s="193">
        <v>2024</v>
      </c>
      <c r="T65" s="63">
        <f t="shared" si="34"/>
        <v>2224.9447407602297</v>
      </c>
      <c r="U65" s="63">
        <f t="shared" si="30"/>
        <v>2119.4916306512819</v>
      </c>
      <c r="V65" s="63">
        <f t="shared" si="30"/>
        <v>2230.7388676892933</v>
      </c>
      <c r="W65" s="63">
        <f t="shared" si="30"/>
        <v>1899.3148073468838</v>
      </c>
      <c r="X65" s="63">
        <f t="shared" si="30"/>
        <v>1852.9617919143791</v>
      </c>
      <c r="Y65" s="63">
        <f t="shared" si="30"/>
        <v>1915.5383627482606</v>
      </c>
      <c r="AA65" s="193">
        <v>2024</v>
      </c>
      <c r="AB65" s="63">
        <f t="shared" si="35"/>
        <v>2224.9447407602297</v>
      </c>
      <c r="AC65" s="63">
        <f t="shared" si="31"/>
        <v>2119.4916306512819</v>
      </c>
      <c r="AD65" s="63">
        <f t="shared" si="31"/>
        <v>2230.7388676892933</v>
      </c>
      <c r="AE65" s="63">
        <f t="shared" si="31"/>
        <v>1899.3148073468838</v>
      </c>
      <c r="AF65" s="63">
        <f t="shared" si="31"/>
        <v>1852.9617919143791</v>
      </c>
      <c r="AG65" s="63">
        <f t="shared" si="31"/>
        <v>1915.5383627482606</v>
      </c>
    </row>
    <row r="66" spans="1:33">
      <c r="A66" s="256"/>
      <c r="B66" s="257"/>
      <c r="C66" s="193">
        <v>2025</v>
      </c>
      <c r="D66" s="63">
        <f t="shared" si="32"/>
        <v>2308.4673122077515</v>
      </c>
      <c r="E66" s="63">
        <f t="shared" si="28"/>
        <v>2199.0555802229055</v>
      </c>
      <c r="F66" s="63">
        <f t="shared" si="28"/>
        <v>2314.478945833293</v>
      </c>
      <c r="G66" s="63">
        <f t="shared" si="28"/>
        <v>1970.6135024523464</v>
      </c>
      <c r="H66" s="63">
        <f t="shared" si="28"/>
        <v>1922.5204334480184</v>
      </c>
      <c r="I66" s="63">
        <f t="shared" si="28"/>
        <v>1987.4460766038615</v>
      </c>
      <c r="K66" s="193">
        <v>2025</v>
      </c>
      <c r="L66" s="63">
        <f t="shared" si="33"/>
        <v>2308.4673122077515</v>
      </c>
      <c r="M66" s="63">
        <f t="shared" si="29"/>
        <v>2199.0555802229055</v>
      </c>
      <c r="N66" s="63">
        <f t="shared" si="29"/>
        <v>2314.478945833293</v>
      </c>
      <c r="O66" s="63">
        <f t="shared" si="29"/>
        <v>1970.6135024523464</v>
      </c>
      <c r="P66" s="63">
        <f t="shared" si="29"/>
        <v>1922.5204334480184</v>
      </c>
      <c r="Q66" s="63">
        <f t="shared" si="29"/>
        <v>1987.4460766038615</v>
      </c>
      <c r="S66" s="193">
        <v>2025</v>
      </c>
      <c r="T66" s="63">
        <f t="shared" si="34"/>
        <v>2308.4673122077515</v>
      </c>
      <c r="U66" s="63">
        <f t="shared" si="30"/>
        <v>2199.0555802229055</v>
      </c>
      <c r="V66" s="63">
        <f t="shared" si="30"/>
        <v>2314.478945833293</v>
      </c>
      <c r="W66" s="63">
        <f t="shared" si="30"/>
        <v>1970.6135024523464</v>
      </c>
      <c r="X66" s="63">
        <f t="shared" si="30"/>
        <v>1922.5204334480184</v>
      </c>
      <c r="Y66" s="63">
        <f t="shared" si="30"/>
        <v>1987.4460766038615</v>
      </c>
      <c r="AA66" s="193">
        <v>2025</v>
      </c>
      <c r="AB66" s="63">
        <f t="shared" si="35"/>
        <v>2308.4673122077515</v>
      </c>
      <c r="AC66" s="63">
        <f t="shared" si="31"/>
        <v>2199.0555802229055</v>
      </c>
      <c r="AD66" s="63">
        <f t="shared" si="31"/>
        <v>2314.478945833293</v>
      </c>
      <c r="AE66" s="63">
        <f t="shared" si="31"/>
        <v>1970.6135024523464</v>
      </c>
      <c r="AF66" s="63">
        <f t="shared" si="31"/>
        <v>1922.5204334480184</v>
      </c>
      <c r="AG66" s="63">
        <f t="shared" si="31"/>
        <v>1987.4460766038615</v>
      </c>
    </row>
    <row r="67" spans="1:33">
      <c r="A67" s="256"/>
      <c r="B67" s="257"/>
      <c r="C67" s="193">
        <v>2026</v>
      </c>
      <c r="D67" s="63">
        <f t="shared" si="32"/>
        <v>2395.1252513852705</v>
      </c>
      <c r="E67" s="63">
        <f t="shared" si="28"/>
        <v>2281.6062941581567</v>
      </c>
      <c r="F67" s="63">
        <f t="shared" si="28"/>
        <v>2401.3625567274198</v>
      </c>
      <c r="G67" s="63">
        <f t="shared" si="28"/>
        <v>2044.5886911564889</v>
      </c>
      <c r="H67" s="63">
        <f t="shared" si="28"/>
        <v>1994.6902484192958</v>
      </c>
      <c r="I67" s="63">
        <f t="shared" si="28"/>
        <v>2062.0531461145065</v>
      </c>
      <c r="K67" s="193">
        <v>2026</v>
      </c>
      <c r="L67" s="63">
        <f t="shared" si="33"/>
        <v>2395.1252513852705</v>
      </c>
      <c r="M67" s="63">
        <f t="shared" si="29"/>
        <v>2281.6062941581567</v>
      </c>
      <c r="N67" s="63">
        <f t="shared" si="29"/>
        <v>2401.3625567274198</v>
      </c>
      <c r="O67" s="63">
        <f t="shared" si="29"/>
        <v>2044.5886911564889</v>
      </c>
      <c r="P67" s="63">
        <f t="shared" si="29"/>
        <v>1994.6902484192958</v>
      </c>
      <c r="Q67" s="63">
        <f t="shared" si="29"/>
        <v>2062.0531461145065</v>
      </c>
      <c r="S67" s="193">
        <v>2026</v>
      </c>
      <c r="T67" s="63">
        <f t="shared" si="34"/>
        <v>2395.1252513852705</v>
      </c>
      <c r="U67" s="63">
        <f t="shared" si="30"/>
        <v>2281.6062941581567</v>
      </c>
      <c r="V67" s="63">
        <f t="shared" si="30"/>
        <v>2401.3625567274198</v>
      </c>
      <c r="W67" s="63">
        <f t="shared" si="30"/>
        <v>2044.5886911564889</v>
      </c>
      <c r="X67" s="63">
        <f t="shared" si="30"/>
        <v>1994.6902484192958</v>
      </c>
      <c r="Y67" s="63">
        <f t="shared" si="30"/>
        <v>2062.0531461145065</v>
      </c>
      <c r="AA67" s="193">
        <v>2026</v>
      </c>
      <c r="AB67" s="63">
        <f t="shared" si="35"/>
        <v>2395.1252513852705</v>
      </c>
      <c r="AC67" s="63">
        <f t="shared" si="31"/>
        <v>2281.6062941581567</v>
      </c>
      <c r="AD67" s="63">
        <f t="shared" si="31"/>
        <v>2401.3625567274198</v>
      </c>
      <c r="AE67" s="63">
        <f t="shared" si="31"/>
        <v>2044.5886911564889</v>
      </c>
      <c r="AF67" s="63">
        <f t="shared" si="31"/>
        <v>1994.6902484192958</v>
      </c>
      <c r="AG67" s="63">
        <f t="shared" si="31"/>
        <v>2062.0531461145065</v>
      </c>
    </row>
    <row r="68" spans="1:33">
      <c r="A68" s="256"/>
      <c r="B68" s="257"/>
      <c r="C68" s="193">
        <v>2027</v>
      </c>
      <c r="D68" s="63">
        <f t="shared" si="32"/>
        <v>2485.0362573845641</v>
      </c>
      <c r="E68" s="63">
        <f t="shared" si="28"/>
        <v>2367.2558931022754</v>
      </c>
      <c r="F68" s="63">
        <f t="shared" si="28"/>
        <v>2491.5077059715031</v>
      </c>
      <c r="G68" s="63">
        <f t="shared" si="28"/>
        <v>2121.3408467985942</v>
      </c>
      <c r="H68" s="63">
        <f t="shared" si="28"/>
        <v>2069.5692581030826</v>
      </c>
      <c r="I68" s="63">
        <f t="shared" si="28"/>
        <v>2139.4609028420232</v>
      </c>
      <c r="K68" s="193">
        <v>2027</v>
      </c>
      <c r="L68" s="63">
        <f t="shared" si="33"/>
        <v>2485.0362573845641</v>
      </c>
      <c r="M68" s="63">
        <f t="shared" si="29"/>
        <v>2367.2558931022754</v>
      </c>
      <c r="N68" s="63">
        <f t="shared" si="29"/>
        <v>2491.5077059715031</v>
      </c>
      <c r="O68" s="63">
        <f t="shared" si="29"/>
        <v>2121.3408467985942</v>
      </c>
      <c r="P68" s="63">
        <f t="shared" si="29"/>
        <v>2069.5692581030826</v>
      </c>
      <c r="Q68" s="63">
        <f t="shared" si="29"/>
        <v>2139.4609028420232</v>
      </c>
      <c r="S68" s="193">
        <v>2027</v>
      </c>
      <c r="T68" s="63">
        <f t="shared" si="34"/>
        <v>2485.0362573845641</v>
      </c>
      <c r="U68" s="63">
        <f t="shared" si="30"/>
        <v>2367.2558931022754</v>
      </c>
      <c r="V68" s="63">
        <f t="shared" si="30"/>
        <v>2491.5077059715031</v>
      </c>
      <c r="W68" s="63">
        <f t="shared" si="30"/>
        <v>2121.3408467985942</v>
      </c>
      <c r="X68" s="63">
        <f t="shared" si="30"/>
        <v>2069.5692581030826</v>
      </c>
      <c r="Y68" s="63">
        <f t="shared" si="30"/>
        <v>2139.4609028420232</v>
      </c>
      <c r="AA68" s="193">
        <v>2027</v>
      </c>
      <c r="AB68" s="63">
        <f t="shared" si="35"/>
        <v>2485.0362573845641</v>
      </c>
      <c r="AC68" s="63">
        <f t="shared" si="31"/>
        <v>2367.2558931022754</v>
      </c>
      <c r="AD68" s="63">
        <f t="shared" si="31"/>
        <v>2491.5077059715031</v>
      </c>
      <c r="AE68" s="63">
        <f t="shared" si="31"/>
        <v>2121.3408467985942</v>
      </c>
      <c r="AF68" s="63">
        <f t="shared" si="31"/>
        <v>2069.5692581030826</v>
      </c>
      <c r="AG68" s="63">
        <f t="shared" si="31"/>
        <v>2139.4609028420232</v>
      </c>
    </row>
    <row r="69" spans="1:33">
      <c r="A69" s="256"/>
      <c r="B69" s="257"/>
      <c r="C69" s="193">
        <v>2028</v>
      </c>
      <c r="D69" s="63">
        <f t="shared" si="32"/>
        <v>2578.3224476232331</v>
      </c>
      <c r="E69" s="63">
        <f t="shared" si="28"/>
        <v>2456.1207066160905</v>
      </c>
      <c r="F69" s="63">
        <f t="shared" si="28"/>
        <v>2585.0368289972516</v>
      </c>
      <c r="G69" s="63">
        <f t="shared" si="28"/>
        <v>2200.9742144033744</v>
      </c>
      <c r="H69" s="63">
        <f t="shared" si="28"/>
        <v>2147.2591634112241</v>
      </c>
      <c r="I69" s="63">
        <f t="shared" si="28"/>
        <v>2219.774482250627</v>
      </c>
      <c r="K69" s="193">
        <v>2028</v>
      </c>
      <c r="L69" s="63">
        <f t="shared" si="33"/>
        <v>2578.3224476232331</v>
      </c>
      <c r="M69" s="63">
        <f t="shared" si="29"/>
        <v>2456.1207066160905</v>
      </c>
      <c r="N69" s="63">
        <f t="shared" si="29"/>
        <v>2585.0368289972516</v>
      </c>
      <c r="O69" s="63">
        <f t="shared" si="29"/>
        <v>2200.9742144033744</v>
      </c>
      <c r="P69" s="63">
        <f t="shared" si="29"/>
        <v>2147.2591634112241</v>
      </c>
      <c r="Q69" s="63">
        <f t="shared" si="29"/>
        <v>2219.774482250627</v>
      </c>
      <c r="S69" s="193">
        <v>2028</v>
      </c>
      <c r="T69" s="63">
        <f t="shared" si="34"/>
        <v>2578.3224476232331</v>
      </c>
      <c r="U69" s="63">
        <f t="shared" si="30"/>
        <v>2456.1207066160905</v>
      </c>
      <c r="V69" s="63">
        <f t="shared" si="30"/>
        <v>2585.0368289972516</v>
      </c>
      <c r="W69" s="63">
        <f t="shared" si="30"/>
        <v>2200.9742144033744</v>
      </c>
      <c r="X69" s="63">
        <f t="shared" si="30"/>
        <v>2147.2591634112241</v>
      </c>
      <c r="Y69" s="63">
        <f t="shared" si="30"/>
        <v>2219.774482250627</v>
      </c>
      <c r="AA69" s="193">
        <v>2028</v>
      </c>
      <c r="AB69" s="63">
        <f t="shared" si="35"/>
        <v>2578.3224476232331</v>
      </c>
      <c r="AC69" s="63">
        <f t="shared" si="31"/>
        <v>2456.1207066160905</v>
      </c>
      <c r="AD69" s="63">
        <f t="shared" si="31"/>
        <v>2585.0368289972516</v>
      </c>
      <c r="AE69" s="63">
        <f t="shared" si="31"/>
        <v>2200.9742144033744</v>
      </c>
      <c r="AF69" s="63">
        <f t="shared" si="31"/>
        <v>2147.2591634112241</v>
      </c>
      <c r="AG69" s="63">
        <f t="shared" si="31"/>
        <v>2219.774482250627</v>
      </c>
    </row>
    <row r="70" spans="1:33">
      <c r="A70" s="256"/>
      <c r="B70" s="257"/>
      <c r="C70" s="193">
        <v>2029</v>
      </c>
      <c r="D70" s="63">
        <f t="shared" si="32"/>
        <v>2675.1105237049696</v>
      </c>
      <c r="E70" s="63">
        <f t="shared" si="28"/>
        <v>2548.3214311752031</v>
      </c>
      <c r="F70" s="63">
        <f t="shared" si="28"/>
        <v>2682.0769573604512</v>
      </c>
      <c r="G70" s="63">
        <f t="shared" si="28"/>
        <v>2283.5969522668984</v>
      </c>
      <c r="H70" s="63">
        <f t="shared" si="28"/>
        <v>2227.8654830230453</v>
      </c>
      <c r="I70" s="63">
        <f t="shared" si="28"/>
        <v>2303.102966502247</v>
      </c>
      <c r="K70" s="193">
        <v>2029</v>
      </c>
      <c r="L70" s="63">
        <f t="shared" si="33"/>
        <v>2675.1105237049696</v>
      </c>
      <c r="M70" s="63">
        <f t="shared" si="29"/>
        <v>2548.3214311752031</v>
      </c>
      <c r="N70" s="63">
        <f t="shared" si="29"/>
        <v>2682.0769573604512</v>
      </c>
      <c r="O70" s="63">
        <f t="shared" si="29"/>
        <v>2283.5969522668984</v>
      </c>
      <c r="P70" s="63">
        <f t="shared" si="29"/>
        <v>2227.8654830230453</v>
      </c>
      <c r="Q70" s="63">
        <f t="shared" si="29"/>
        <v>2303.102966502247</v>
      </c>
      <c r="S70" s="193">
        <v>2029</v>
      </c>
      <c r="T70" s="63">
        <f t="shared" si="34"/>
        <v>2675.1105237049696</v>
      </c>
      <c r="U70" s="63">
        <f t="shared" si="30"/>
        <v>2548.3214311752031</v>
      </c>
      <c r="V70" s="63">
        <f t="shared" si="30"/>
        <v>2682.0769573604512</v>
      </c>
      <c r="W70" s="63">
        <f t="shared" si="30"/>
        <v>2283.5969522668984</v>
      </c>
      <c r="X70" s="63">
        <f t="shared" si="30"/>
        <v>2227.8654830230453</v>
      </c>
      <c r="Y70" s="63">
        <f t="shared" si="30"/>
        <v>2303.102966502247</v>
      </c>
      <c r="AA70" s="193">
        <v>2029</v>
      </c>
      <c r="AB70" s="63">
        <f t="shared" si="35"/>
        <v>2675.1105237049696</v>
      </c>
      <c r="AC70" s="63">
        <f t="shared" si="31"/>
        <v>2548.3214311752031</v>
      </c>
      <c r="AD70" s="63">
        <f t="shared" si="31"/>
        <v>2682.0769573604512</v>
      </c>
      <c r="AE70" s="63">
        <f t="shared" si="31"/>
        <v>2283.5969522668984</v>
      </c>
      <c r="AF70" s="63">
        <f t="shared" si="31"/>
        <v>2227.8654830230453</v>
      </c>
      <c r="AG70" s="63">
        <f t="shared" si="31"/>
        <v>2303.102966502247</v>
      </c>
    </row>
    <row r="71" spans="1:33">
      <c r="A71" s="256"/>
      <c r="B71" s="257"/>
      <c r="C71" s="193">
        <v>2030</v>
      </c>
      <c r="D71" s="63">
        <f t="shared" si="32"/>
        <v>2775.5319435060846</v>
      </c>
      <c r="E71" s="63">
        <f t="shared" si="28"/>
        <v>2643.9832941003274</v>
      </c>
      <c r="F71" s="63">
        <f t="shared" si="28"/>
        <v>2782.7598912756316</v>
      </c>
      <c r="G71" s="63">
        <f t="shared" si="28"/>
        <v>2369.3212788575374</v>
      </c>
      <c r="H71" s="63">
        <f t="shared" si="28"/>
        <v>2311.4976967011612</v>
      </c>
      <c r="I71" s="63">
        <f t="shared" si="28"/>
        <v>2389.5595326122693</v>
      </c>
      <c r="K71" s="193">
        <v>2030</v>
      </c>
      <c r="L71" s="63">
        <f t="shared" si="33"/>
        <v>2775.5319435060846</v>
      </c>
      <c r="M71" s="63">
        <f t="shared" si="29"/>
        <v>2643.9832941003274</v>
      </c>
      <c r="N71" s="63">
        <f t="shared" si="29"/>
        <v>2782.7598912756316</v>
      </c>
      <c r="O71" s="63">
        <f t="shared" si="29"/>
        <v>2369.3212788575374</v>
      </c>
      <c r="P71" s="63">
        <f t="shared" si="29"/>
        <v>2311.4976967011612</v>
      </c>
      <c r="Q71" s="63">
        <f t="shared" si="29"/>
        <v>2389.5595326122693</v>
      </c>
      <c r="S71" s="193">
        <v>2030</v>
      </c>
      <c r="T71" s="63">
        <f t="shared" si="34"/>
        <v>2775.5319435060846</v>
      </c>
      <c r="U71" s="63">
        <f t="shared" si="30"/>
        <v>2643.9832941003274</v>
      </c>
      <c r="V71" s="63">
        <f t="shared" si="30"/>
        <v>2782.7598912756316</v>
      </c>
      <c r="W71" s="63">
        <f t="shared" si="30"/>
        <v>2369.3212788575374</v>
      </c>
      <c r="X71" s="63">
        <f t="shared" si="30"/>
        <v>2311.4976967011612</v>
      </c>
      <c r="Y71" s="63">
        <f t="shared" si="30"/>
        <v>2389.5595326122693</v>
      </c>
      <c r="AA71" s="193">
        <v>2030</v>
      </c>
      <c r="AB71" s="63">
        <f t="shared" si="35"/>
        <v>2775.5319435060846</v>
      </c>
      <c r="AC71" s="63">
        <f t="shared" si="31"/>
        <v>2643.9832941003274</v>
      </c>
      <c r="AD71" s="63">
        <f t="shared" si="31"/>
        <v>2782.7598912756316</v>
      </c>
      <c r="AE71" s="63">
        <f t="shared" si="31"/>
        <v>2369.3212788575374</v>
      </c>
      <c r="AF71" s="63">
        <f t="shared" si="31"/>
        <v>2311.4976967011612</v>
      </c>
      <c r="AG71" s="63">
        <f t="shared" si="31"/>
        <v>2389.5595326122693</v>
      </c>
    </row>
    <row r="72" spans="1:33">
      <c r="A72" s="256"/>
      <c r="B72" s="257"/>
      <c r="C72" s="193">
        <v>2040</v>
      </c>
      <c r="D72" s="63">
        <f t="shared" si="32"/>
        <v>4012.2799840743037</v>
      </c>
      <c r="E72" s="63">
        <f t="shared" si="28"/>
        <v>3822.1146306624487</v>
      </c>
      <c r="F72" s="63">
        <f t="shared" si="28"/>
        <v>4022.7286298661638</v>
      </c>
      <c r="G72" s="63">
        <f t="shared" si="28"/>
        <v>3425.0660905717618</v>
      </c>
      <c r="H72" s="63">
        <f t="shared" si="28"/>
        <v>3341.4769242368811</v>
      </c>
      <c r="I72" s="63">
        <f t="shared" si="28"/>
        <v>3454.3222987889703</v>
      </c>
      <c r="K72" s="193">
        <v>2040</v>
      </c>
      <c r="L72" s="63">
        <f t="shared" si="33"/>
        <v>4012.2799840743037</v>
      </c>
      <c r="M72" s="63">
        <f t="shared" si="29"/>
        <v>3822.1146306624487</v>
      </c>
      <c r="N72" s="63">
        <f t="shared" si="29"/>
        <v>4022.7286298661638</v>
      </c>
      <c r="O72" s="63">
        <f t="shared" si="29"/>
        <v>3425.0660905717618</v>
      </c>
      <c r="P72" s="63">
        <f t="shared" si="29"/>
        <v>3341.4769242368811</v>
      </c>
      <c r="Q72" s="63">
        <f t="shared" si="29"/>
        <v>3454.3222987889703</v>
      </c>
      <c r="S72" s="193">
        <v>2040</v>
      </c>
      <c r="T72" s="63">
        <f t="shared" si="34"/>
        <v>4012.2799840743037</v>
      </c>
      <c r="U72" s="63">
        <f t="shared" si="30"/>
        <v>3822.1146306624487</v>
      </c>
      <c r="V72" s="63">
        <f t="shared" si="30"/>
        <v>4022.7286298661638</v>
      </c>
      <c r="W72" s="63">
        <f t="shared" si="30"/>
        <v>3425.0660905717618</v>
      </c>
      <c r="X72" s="63">
        <f t="shared" si="30"/>
        <v>3341.4769242368811</v>
      </c>
      <c r="Y72" s="63">
        <f t="shared" si="30"/>
        <v>3454.3222987889703</v>
      </c>
      <c r="AA72" s="193">
        <v>2040</v>
      </c>
      <c r="AB72" s="63">
        <f t="shared" si="35"/>
        <v>4012.2799840743037</v>
      </c>
      <c r="AC72" s="63">
        <f t="shared" si="31"/>
        <v>3822.1146306624487</v>
      </c>
      <c r="AD72" s="63">
        <f t="shared" si="31"/>
        <v>4022.7286298661638</v>
      </c>
      <c r="AE72" s="63">
        <f t="shared" si="31"/>
        <v>3425.0660905717618</v>
      </c>
      <c r="AF72" s="63">
        <f t="shared" si="31"/>
        <v>3341.4769242368811</v>
      </c>
      <c r="AG72" s="63">
        <f t="shared" si="31"/>
        <v>3454.3222987889703</v>
      </c>
    </row>
    <row r="73" spans="1:33">
      <c r="A73" s="256"/>
      <c r="B73" s="257"/>
      <c r="C73" s="193">
        <v>2050</v>
      </c>
      <c r="D73" s="63">
        <f t="shared" si="32"/>
        <v>5800.1100323376631</v>
      </c>
      <c r="E73" s="63">
        <f t="shared" si="28"/>
        <v>5525.2089839299933</v>
      </c>
      <c r="F73" s="63">
        <f t="shared" si="28"/>
        <v>5815.2144855468759</v>
      </c>
      <c r="G73" s="63">
        <f t="shared" si="28"/>
        <v>4951.2397619799112</v>
      </c>
      <c r="H73" s="63">
        <f t="shared" si="28"/>
        <v>4830.4041363062106</v>
      </c>
      <c r="I73" s="63">
        <f t="shared" si="28"/>
        <v>4993.5322309657067</v>
      </c>
      <c r="K73" s="193">
        <v>2050</v>
      </c>
      <c r="L73" s="63">
        <f t="shared" si="33"/>
        <v>5800.1100323376631</v>
      </c>
      <c r="M73" s="63">
        <f t="shared" si="29"/>
        <v>5525.2089839299933</v>
      </c>
      <c r="N73" s="63">
        <f t="shared" si="29"/>
        <v>5815.2144855468759</v>
      </c>
      <c r="O73" s="63">
        <f t="shared" si="29"/>
        <v>4951.2397619799112</v>
      </c>
      <c r="P73" s="63">
        <f t="shared" si="29"/>
        <v>4830.4041363062106</v>
      </c>
      <c r="Q73" s="63">
        <f t="shared" si="29"/>
        <v>4993.5322309657067</v>
      </c>
      <c r="S73" s="193">
        <v>2050</v>
      </c>
      <c r="T73" s="63">
        <f t="shared" si="34"/>
        <v>5800.1100323376631</v>
      </c>
      <c r="U73" s="63">
        <f t="shared" si="30"/>
        <v>5525.2089839299933</v>
      </c>
      <c r="V73" s="63">
        <f t="shared" si="30"/>
        <v>5815.2144855468759</v>
      </c>
      <c r="W73" s="63">
        <f t="shared" si="30"/>
        <v>4951.2397619799112</v>
      </c>
      <c r="X73" s="63">
        <f t="shared" si="30"/>
        <v>4830.4041363062106</v>
      </c>
      <c r="Y73" s="63">
        <f t="shared" si="30"/>
        <v>4993.5322309657067</v>
      </c>
      <c r="AA73" s="193">
        <v>2050</v>
      </c>
      <c r="AB73" s="63">
        <f t="shared" si="35"/>
        <v>5800.1100323376631</v>
      </c>
      <c r="AC73" s="63">
        <f t="shared" si="31"/>
        <v>5525.2089839299933</v>
      </c>
      <c r="AD73" s="63">
        <f t="shared" si="31"/>
        <v>5815.2144855468759</v>
      </c>
      <c r="AE73" s="63">
        <f t="shared" si="31"/>
        <v>4951.2397619799112</v>
      </c>
      <c r="AF73" s="63">
        <f t="shared" si="31"/>
        <v>4830.4041363062106</v>
      </c>
      <c r="AG73" s="63">
        <f t="shared" si="31"/>
        <v>4993.5322309657067</v>
      </c>
    </row>
    <row r="74" spans="1:33">
      <c r="A74" s="256"/>
      <c r="B74" s="257"/>
      <c r="C74" s="193">
        <v>2060</v>
      </c>
      <c r="D74" s="63">
        <f t="shared" si="32"/>
        <v>8384.5784742725482</v>
      </c>
      <c r="E74" s="63">
        <f t="shared" si="28"/>
        <v>7987.184390335673</v>
      </c>
      <c r="F74" s="63">
        <f t="shared" si="28"/>
        <v>8406.4133140492995</v>
      </c>
      <c r="G74" s="63">
        <f t="shared" si="28"/>
        <v>7157.4604788191182</v>
      </c>
      <c r="H74" s="63">
        <f t="shared" si="28"/>
        <v>6982.7817606051076</v>
      </c>
      <c r="I74" s="63">
        <f t="shared" si="28"/>
        <v>7218.5980301940217</v>
      </c>
      <c r="K74" s="193">
        <v>2060</v>
      </c>
      <c r="L74" s="63">
        <f t="shared" si="33"/>
        <v>8384.5784742725482</v>
      </c>
      <c r="M74" s="63">
        <f t="shared" si="29"/>
        <v>7987.184390335673</v>
      </c>
      <c r="N74" s="63">
        <f t="shared" si="29"/>
        <v>8406.4133140492995</v>
      </c>
      <c r="O74" s="63">
        <f t="shared" si="29"/>
        <v>7157.4604788191182</v>
      </c>
      <c r="P74" s="63">
        <f t="shared" si="29"/>
        <v>6982.7817606051076</v>
      </c>
      <c r="Q74" s="63">
        <f t="shared" si="29"/>
        <v>7218.5980301940217</v>
      </c>
      <c r="S74" s="193">
        <v>2060</v>
      </c>
      <c r="T74" s="63">
        <f t="shared" si="34"/>
        <v>8384.5784742725482</v>
      </c>
      <c r="U74" s="63">
        <f t="shared" si="30"/>
        <v>7987.184390335673</v>
      </c>
      <c r="V74" s="63">
        <f t="shared" si="30"/>
        <v>8406.4133140492995</v>
      </c>
      <c r="W74" s="63">
        <f t="shared" si="30"/>
        <v>7157.4604788191182</v>
      </c>
      <c r="X74" s="63">
        <f t="shared" si="30"/>
        <v>6982.7817606051076</v>
      </c>
      <c r="Y74" s="63">
        <f t="shared" si="30"/>
        <v>7218.5980301940217</v>
      </c>
      <c r="AA74" s="193">
        <v>2060</v>
      </c>
      <c r="AB74" s="63">
        <f t="shared" si="35"/>
        <v>8384.5784742725482</v>
      </c>
      <c r="AC74" s="63">
        <f t="shared" si="31"/>
        <v>7987.184390335673</v>
      </c>
      <c r="AD74" s="63">
        <f t="shared" si="31"/>
        <v>8406.4133140492995</v>
      </c>
      <c r="AE74" s="63">
        <f t="shared" si="31"/>
        <v>7157.4604788191182</v>
      </c>
      <c r="AF74" s="63">
        <f t="shared" si="31"/>
        <v>6982.7817606051076</v>
      </c>
      <c r="AG74" s="63">
        <f t="shared" si="31"/>
        <v>7218.5980301940217</v>
      </c>
    </row>
    <row r="75" spans="1:33">
      <c r="A75" s="256"/>
      <c r="B75" s="257"/>
      <c r="C75" s="193">
        <v>2070</v>
      </c>
      <c r="D75" s="63">
        <f t="shared" si="32"/>
        <v>12120.659056342171</v>
      </c>
      <c r="E75" s="63">
        <f t="shared" si="28"/>
        <v>11546.190319817621</v>
      </c>
      <c r="F75" s="63">
        <f t="shared" si="28"/>
        <v>12152.223272634728</v>
      </c>
      <c r="G75" s="63">
        <f t="shared" si="28"/>
        <v>10346.750100700425</v>
      </c>
      <c r="H75" s="63">
        <f t="shared" si="28"/>
        <v>10094.236370359966</v>
      </c>
      <c r="I75" s="63">
        <f t="shared" si="28"/>
        <v>10435.129906319587</v>
      </c>
      <c r="K75" s="193">
        <v>2070</v>
      </c>
      <c r="L75" s="63">
        <f t="shared" si="33"/>
        <v>12120.659056342171</v>
      </c>
      <c r="M75" s="63">
        <f t="shared" si="29"/>
        <v>11546.190319817621</v>
      </c>
      <c r="N75" s="63">
        <f t="shared" si="29"/>
        <v>12152.223272634728</v>
      </c>
      <c r="O75" s="63">
        <f t="shared" si="29"/>
        <v>10346.750100700425</v>
      </c>
      <c r="P75" s="63">
        <f t="shared" si="29"/>
        <v>10094.236370359966</v>
      </c>
      <c r="Q75" s="63">
        <f t="shared" si="29"/>
        <v>10435.129906319587</v>
      </c>
      <c r="S75" s="193">
        <v>2070</v>
      </c>
      <c r="T75" s="63">
        <f t="shared" si="34"/>
        <v>12120.659056342171</v>
      </c>
      <c r="U75" s="63">
        <f t="shared" si="30"/>
        <v>11546.190319817621</v>
      </c>
      <c r="V75" s="63">
        <f t="shared" si="30"/>
        <v>12152.223272634728</v>
      </c>
      <c r="W75" s="63">
        <f t="shared" si="30"/>
        <v>10346.750100700425</v>
      </c>
      <c r="X75" s="63">
        <f t="shared" si="30"/>
        <v>10094.236370359966</v>
      </c>
      <c r="Y75" s="63">
        <f t="shared" si="30"/>
        <v>10435.129906319587</v>
      </c>
      <c r="AA75" s="193">
        <v>2070</v>
      </c>
      <c r="AB75" s="63">
        <f t="shared" si="35"/>
        <v>12120.659056342171</v>
      </c>
      <c r="AC75" s="63">
        <f t="shared" si="31"/>
        <v>11546.190319817621</v>
      </c>
      <c r="AD75" s="63">
        <f t="shared" si="31"/>
        <v>12152.223272634728</v>
      </c>
      <c r="AE75" s="63">
        <f t="shared" si="31"/>
        <v>10346.750100700425</v>
      </c>
      <c r="AF75" s="63">
        <f t="shared" si="31"/>
        <v>10094.236370359966</v>
      </c>
      <c r="AG75" s="63">
        <f t="shared" si="31"/>
        <v>10435.129906319587</v>
      </c>
    </row>
    <row r="76" spans="1:33">
      <c r="A76" s="256"/>
      <c r="B76" s="257"/>
      <c r="C76" s="193">
        <v>2080</v>
      </c>
      <c r="D76" s="63">
        <f t="shared" si="32"/>
        <v>17521.498118345837</v>
      </c>
      <c r="E76" s="63">
        <f t="shared" si="28"/>
        <v>16691.052113778405</v>
      </c>
      <c r="F76" s="63">
        <f t="shared" si="28"/>
        <v>17567.127019695698</v>
      </c>
      <c r="G76" s="63">
        <f t="shared" si="28"/>
        <v>14957.153862483763</v>
      </c>
      <c r="H76" s="63">
        <f t="shared" si="28"/>
        <v>14592.122651684896</v>
      </c>
      <c r="I76" s="63">
        <f t="shared" si="28"/>
        <v>15084.914786263369</v>
      </c>
      <c r="K76" s="193">
        <v>2080</v>
      </c>
      <c r="L76" s="63">
        <f t="shared" si="33"/>
        <v>17521.498118345837</v>
      </c>
      <c r="M76" s="63">
        <f t="shared" si="29"/>
        <v>16691.052113778405</v>
      </c>
      <c r="N76" s="63">
        <f t="shared" si="29"/>
        <v>17567.127019695698</v>
      </c>
      <c r="O76" s="63">
        <f t="shared" si="29"/>
        <v>14957.153862483763</v>
      </c>
      <c r="P76" s="63">
        <f t="shared" si="29"/>
        <v>14592.122651684896</v>
      </c>
      <c r="Q76" s="63">
        <f t="shared" si="29"/>
        <v>15084.914786263369</v>
      </c>
      <c r="S76" s="193">
        <v>2080</v>
      </c>
      <c r="T76" s="63">
        <f t="shared" si="34"/>
        <v>17521.498118345837</v>
      </c>
      <c r="U76" s="63">
        <f t="shared" si="30"/>
        <v>16691.052113778405</v>
      </c>
      <c r="V76" s="63">
        <f t="shared" si="30"/>
        <v>17567.127019695698</v>
      </c>
      <c r="W76" s="63">
        <f t="shared" si="30"/>
        <v>14957.153862483763</v>
      </c>
      <c r="X76" s="63">
        <f t="shared" si="30"/>
        <v>14592.122651684896</v>
      </c>
      <c r="Y76" s="63">
        <f t="shared" si="30"/>
        <v>15084.914786263369</v>
      </c>
      <c r="AA76" s="193">
        <v>2080</v>
      </c>
      <c r="AB76" s="63">
        <f t="shared" si="35"/>
        <v>17521.498118345837</v>
      </c>
      <c r="AC76" s="63">
        <f t="shared" si="31"/>
        <v>16691.052113778405</v>
      </c>
      <c r="AD76" s="63">
        <f t="shared" si="31"/>
        <v>17567.127019695698</v>
      </c>
      <c r="AE76" s="63">
        <f t="shared" si="31"/>
        <v>14957.153862483763</v>
      </c>
      <c r="AF76" s="63">
        <f t="shared" si="31"/>
        <v>14592.122651684896</v>
      </c>
      <c r="AG76" s="63">
        <f t="shared" si="31"/>
        <v>15084.914786263369</v>
      </c>
    </row>
    <row r="77" spans="1:33">
      <c r="A77" s="256"/>
      <c r="B77" s="257"/>
      <c r="C77" s="193">
        <v>2090</v>
      </c>
      <c r="D77" s="63">
        <f t="shared" si="32"/>
        <v>25328.894648724283</v>
      </c>
      <c r="E77" s="63">
        <f t="shared" si="28"/>
        <v>24128.410579435789</v>
      </c>
      <c r="F77" s="63">
        <f t="shared" si="28"/>
        <v>25394.855311872005</v>
      </c>
      <c r="G77" s="63">
        <f t="shared" si="28"/>
        <v>21621.905379822445</v>
      </c>
      <c r="H77" s="63">
        <f t="shared" si="28"/>
        <v>21094.2200746407</v>
      </c>
      <c r="I77" s="63">
        <f t="shared" si="28"/>
        <v>21806.595236636062</v>
      </c>
      <c r="K77" s="193">
        <v>2090</v>
      </c>
      <c r="L77" s="63">
        <f t="shared" si="33"/>
        <v>25328.894648724283</v>
      </c>
      <c r="M77" s="63">
        <f t="shared" si="29"/>
        <v>24128.410579435789</v>
      </c>
      <c r="N77" s="63">
        <f t="shared" si="29"/>
        <v>25394.855311872005</v>
      </c>
      <c r="O77" s="63">
        <f t="shared" si="29"/>
        <v>21621.905379822445</v>
      </c>
      <c r="P77" s="63">
        <f t="shared" si="29"/>
        <v>21094.2200746407</v>
      </c>
      <c r="Q77" s="63">
        <f t="shared" si="29"/>
        <v>21806.595236636062</v>
      </c>
      <c r="S77" s="193">
        <v>2090</v>
      </c>
      <c r="T77" s="63">
        <f t="shared" si="34"/>
        <v>25328.894648724283</v>
      </c>
      <c r="U77" s="63">
        <f t="shared" si="30"/>
        <v>24128.410579435789</v>
      </c>
      <c r="V77" s="63">
        <f t="shared" si="30"/>
        <v>25394.855311872005</v>
      </c>
      <c r="W77" s="63">
        <f t="shared" si="30"/>
        <v>21621.905379822445</v>
      </c>
      <c r="X77" s="63">
        <f t="shared" si="30"/>
        <v>21094.2200746407</v>
      </c>
      <c r="Y77" s="63">
        <f t="shared" si="30"/>
        <v>21806.595236636062</v>
      </c>
      <c r="AA77" s="193">
        <v>2090</v>
      </c>
      <c r="AB77" s="63">
        <f t="shared" si="35"/>
        <v>25328.894648724283</v>
      </c>
      <c r="AC77" s="63">
        <f t="shared" si="31"/>
        <v>24128.410579435789</v>
      </c>
      <c r="AD77" s="63">
        <f t="shared" si="31"/>
        <v>25394.855311872005</v>
      </c>
      <c r="AE77" s="63">
        <f t="shared" si="31"/>
        <v>21621.905379822445</v>
      </c>
      <c r="AF77" s="63">
        <f t="shared" si="31"/>
        <v>21094.2200746407</v>
      </c>
      <c r="AG77" s="63">
        <f t="shared" si="31"/>
        <v>21806.595236636062</v>
      </c>
    </row>
    <row r="78" spans="1:33">
      <c r="A78" s="256"/>
      <c r="B78" s="257"/>
      <c r="C78" s="193">
        <v>2100</v>
      </c>
      <c r="D78" s="63">
        <f t="shared" si="32"/>
        <v>36615.185516268008</v>
      </c>
      <c r="E78" s="63">
        <f t="shared" ref="E78" si="36">E77*(1+$B$15)^($C78-$C77)</f>
        <v>34879.778286069886</v>
      </c>
      <c r="F78" s="63">
        <f t="shared" ref="F78" si="37">F77*(1+$B$15)^($C78-$C77)</f>
        <v>36710.537561883291</v>
      </c>
      <c r="G78" s="63">
        <f t="shared" ref="G78" si="38">G77*(1+$B$15)^($C78-$C77)</f>
        <v>31256.400552689196</v>
      </c>
      <c r="H78" s="63">
        <f t="shared" ref="H78" si="39">H77*(1+$B$15)^($C78-$C77)</f>
        <v>30493.584187766959</v>
      </c>
      <c r="I78" s="63">
        <f t="shared" ref="I78" si="40">I77*(1+$B$15)^($C78-$C77)</f>
        <v>31523.386280411985</v>
      </c>
      <c r="K78" s="193">
        <v>2100</v>
      </c>
      <c r="L78" s="63">
        <f t="shared" si="33"/>
        <v>36615.185516268008</v>
      </c>
      <c r="M78" s="63">
        <f t="shared" ref="M78" si="41">M77*(1+$B$15)^($K78-$K77)</f>
        <v>34879.778286069886</v>
      </c>
      <c r="N78" s="63">
        <f t="shared" ref="N78" si="42">N77*(1+$B$15)^($K78-$K77)</f>
        <v>36710.537561883291</v>
      </c>
      <c r="O78" s="63">
        <f t="shared" ref="O78" si="43">O77*(1+$B$15)^($K78-$K77)</f>
        <v>31256.400552689196</v>
      </c>
      <c r="P78" s="63">
        <f t="shared" ref="P78" si="44">P77*(1+$B$15)^($K78-$K77)</f>
        <v>30493.584187766959</v>
      </c>
      <c r="Q78" s="63">
        <f t="shared" ref="Q78" si="45">Q77*(1+$B$15)^($K78-$K77)</f>
        <v>31523.386280411985</v>
      </c>
      <c r="S78" s="193">
        <v>2100</v>
      </c>
      <c r="T78" s="63">
        <f t="shared" si="34"/>
        <v>36615.185516268008</v>
      </c>
      <c r="U78" s="63">
        <f t="shared" ref="U78" si="46">U77*(1+$B$15)^($S78-$S77)</f>
        <v>34879.778286069886</v>
      </c>
      <c r="V78" s="63">
        <f t="shared" ref="V78" si="47">V77*(1+$B$15)^($S78-$S77)</f>
        <v>36710.537561883291</v>
      </c>
      <c r="W78" s="63">
        <f t="shared" ref="W78" si="48">W77*(1+$B$15)^($S78-$S77)</f>
        <v>31256.400552689196</v>
      </c>
      <c r="X78" s="63">
        <f t="shared" ref="X78" si="49">X77*(1+$B$15)^($S78-$S77)</f>
        <v>30493.584187766959</v>
      </c>
      <c r="Y78" s="63">
        <f t="shared" ref="Y78" si="50">Y77*(1+$B$15)^($S78-$S77)</f>
        <v>31523.386280411985</v>
      </c>
      <c r="AA78" s="193">
        <v>2100</v>
      </c>
      <c r="AB78" s="63">
        <f t="shared" si="35"/>
        <v>36615.185516268008</v>
      </c>
      <c r="AC78" s="63">
        <f t="shared" ref="AC78" si="51">AC77*(1+$B$15)^($AA78-$AA77)</f>
        <v>34879.778286069886</v>
      </c>
      <c r="AD78" s="63">
        <f t="shared" ref="AD78" si="52">AD77*(1+$B$15)^($AA78-$AA77)</f>
        <v>36710.537561883291</v>
      </c>
      <c r="AE78" s="63">
        <f t="shared" ref="AE78" si="53">AE77*(1+$B$15)^($AA78-$AA77)</f>
        <v>31256.400552689196</v>
      </c>
      <c r="AF78" s="63">
        <f t="shared" ref="AF78" si="54">AF77*(1+$B$15)^($AA78-$AA77)</f>
        <v>30493.584187766959</v>
      </c>
      <c r="AG78" s="63">
        <f t="shared" ref="AG78" si="55">AG77*(1+$B$15)^($AA78-$AA77)</f>
        <v>31523.386280411985</v>
      </c>
    </row>
    <row r="79" spans="1:33">
      <c r="A79" s="205"/>
      <c r="B79" s="205"/>
      <c r="C79" s="210" t="s">
        <v>88</v>
      </c>
      <c r="D79" s="264" t="s">
        <v>247</v>
      </c>
      <c r="E79" s="264"/>
      <c r="F79" s="264"/>
      <c r="G79" s="264"/>
      <c r="H79" s="264"/>
      <c r="I79" s="265"/>
      <c r="K79" s="210" t="s">
        <v>88</v>
      </c>
      <c r="L79" s="264" t="s">
        <v>247</v>
      </c>
      <c r="M79" s="264"/>
      <c r="N79" s="264"/>
      <c r="O79" s="264"/>
      <c r="P79" s="264"/>
      <c r="Q79" s="265"/>
      <c r="S79" s="210" t="s">
        <v>88</v>
      </c>
      <c r="T79" s="264" t="s">
        <v>247</v>
      </c>
      <c r="U79" s="264"/>
      <c r="V79" s="264"/>
      <c r="W79" s="264"/>
      <c r="X79" s="264"/>
      <c r="Y79" s="265"/>
      <c r="AA79" s="210" t="s">
        <v>88</v>
      </c>
      <c r="AB79" s="264" t="s">
        <v>247</v>
      </c>
      <c r="AC79" s="264"/>
      <c r="AD79" s="264"/>
      <c r="AE79" s="264"/>
      <c r="AF79" s="264"/>
      <c r="AG79" s="265"/>
    </row>
    <row r="80" spans="1:33">
      <c r="A80" s="262"/>
      <c r="B80" s="263"/>
      <c r="C80" s="193">
        <v>2020</v>
      </c>
      <c r="D80" s="63">
        <f>('Prediction Results (Transposed)'!J$3*$B$5*$B$8 + 'Prediction Results (Transposed)'!J$4*$B$6*$B$9+ 'Prediction Results (Transposed)'!J$5*$B$7*$B$10) *(D23*D61) *D4/(D42 *$B$14)</f>
        <v>128313473.20350681</v>
      </c>
      <c r="E80" s="63">
        <f>('Prediction Results (Transposed)'!K$3*$B$5*$B$8 + 'Prediction Results (Transposed)'!K$4*$B$6*$B$9+ 'Prediction Results (Transposed)'!K$5*$B$7*$B$10) *(E23*E61) *E4/(E42 *$B$14)</f>
        <v>138611253.11943674</v>
      </c>
      <c r="F80" s="63">
        <f>('Prediction Results (Transposed)'!L$3*$B$5*$B$8 + 'Prediction Results (Transposed)'!L$4*$B$6*$B$9+ 'Prediction Results (Transposed)'!L$5*$B$7*$B$10) *(F23*F61) *F4/(F42 *$B$14)</f>
        <v>6202373.4777053883</v>
      </c>
      <c r="G80" s="63">
        <f>('Prediction Results (Transposed)'!M$3*$B$5*$B$8 + 'Prediction Results (Transposed)'!M$4*$B$6*$B$9+ 'Prediction Results (Transposed)'!M$5*$B$7*$B$10) *(G23*G61) *G4/(G42 *$B$14)</f>
        <v>994365.72400941059</v>
      </c>
      <c r="H80" s="63">
        <f>('Prediction Results (Transposed)'!N$3*$B$5*$B$8 + 'Prediction Results (Transposed)'!N$4*$B$6*$B$9+ 'Prediction Results (Transposed)'!N$5*$B$7*$B$10) *(H23*H61) *H4/(H42 *$B$14)</f>
        <v>3006224.1260667825</v>
      </c>
      <c r="I80" s="63">
        <f>('Prediction Results (Transposed)'!O$3*$B$5*$B$8 + 'Prediction Results (Transposed)'!O$4*$B$6*$B$9+ 'Prediction Results (Transposed)'!O$5*$B$7*$B$10) *(I23*I61) *I4/(I42 *$B$14)</f>
        <v>2597683.0788231096</v>
      </c>
      <c r="K80" s="193">
        <v>2020</v>
      </c>
      <c r="L80" s="63">
        <f>('Prediction Results (Transposed)'!J$3*$B$5*$B$8 + 'Prediction Results (Transposed)'!J$4*$B$6*$B$9+ 'Prediction Results (Transposed)'!J$5*$B$7*$B$10) * (L23*L61) * L4/L42 * 1/$B$14</f>
        <v>128313473.20350681</v>
      </c>
      <c r="M80" s="63">
        <f>('Prediction Results (Transposed)'!K$3*$B$5*$B$8 + 'Prediction Results (Transposed)'!K$4*$B$6*$B$9+ 'Prediction Results (Transposed)'!K$5*$B$7*$B$10) * (M23*M61) * M4/M42 * 1/$B$14</f>
        <v>138611253.11943674</v>
      </c>
      <c r="N80" s="63">
        <f>('Prediction Results (Transposed)'!L$3*$B$5*$B$8 + 'Prediction Results (Transposed)'!L$4*$B$6*$B$9+ 'Prediction Results (Transposed)'!L$5*$B$7*$B$10) * (N23*N61) * N4/N42 * 1/$B$14</f>
        <v>6202373.4777053883</v>
      </c>
      <c r="O80" s="63">
        <f>('Prediction Results (Transposed)'!M$3*$B$5*$B$8 + 'Prediction Results (Transposed)'!M$4*$B$6*$B$9+ 'Prediction Results (Transposed)'!M$5*$B$7*$B$10) * (O23*O61) * O4/O42 * 1/$B$14</f>
        <v>994365.72400941059</v>
      </c>
      <c r="P80" s="63">
        <f>('Prediction Results (Transposed)'!N$3*$B$5*$B$8 + 'Prediction Results (Transposed)'!N$4*$B$6*$B$9+ 'Prediction Results (Transposed)'!N$5*$B$7*$B$10) * (P23*P61) * P4/P42 * 1/$B$14</f>
        <v>3006224.1260667825</v>
      </c>
      <c r="Q80" s="63">
        <f>('Prediction Results (Transposed)'!O$3*$B$5*$B$8 + 'Prediction Results (Transposed)'!O$4*$B$6*$B$9+ 'Prediction Results (Transposed)'!O$5*$B$7*$B$10) * (Q23*Q61) * Q4/Q42 * 1/$B$14</f>
        <v>2597683.0788231096</v>
      </c>
      <c r="S80" s="193">
        <v>2020</v>
      </c>
      <c r="T80" s="63">
        <f>('Prediction Results (Transposed)'!J$3*$B$5*$B$8 + 'Prediction Results (Transposed)'!J$4*$B$6*$B$9+ 'Prediction Results (Transposed)'!J$5*$B$7*$B$10) * (T23*T61) * T4/T42 * 1/$B$14</f>
        <v>128313473.20350681</v>
      </c>
      <c r="U80" s="63">
        <f>('Prediction Results (Transposed)'!K$3*$B$5*$B$8 + 'Prediction Results (Transposed)'!K$4*$B$6*$B$9+ 'Prediction Results (Transposed)'!K$5*$B$7*$B$10) * (U23*U61) * U4/U42 * 1/$B$14</f>
        <v>138611253.11943674</v>
      </c>
      <c r="V80" s="63">
        <f>('Prediction Results (Transposed)'!L$3*$B$5*$B$8 + 'Prediction Results (Transposed)'!L$4*$B$6*$B$9+ 'Prediction Results (Transposed)'!L$5*$B$7*$B$10) * (V23*V61) * V4/V42 * 1/$B$14</f>
        <v>6202373.4777053883</v>
      </c>
      <c r="W80" s="63">
        <f>('Prediction Results (Transposed)'!M$3*$B$5*$B$8 + 'Prediction Results (Transposed)'!M$4*$B$6*$B$9+ 'Prediction Results (Transposed)'!M$5*$B$7*$B$10) * (W23*W61) * W4/W42 * 1/$B$14</f>
        <v>994365.72400941059</v>
      </c>
      <c r="X80" s="63">
        <f>('Prediction Results (Transposed)'!N$3*$B$5*$B$8 + 'Prediction Results (Transposed)'!N$4*$B$6*$B$9+ 'Prediction Results (Transposed)'!N$5*$B$7*$B$10) * (X23*X61) * X4/X42 * 1/$B$14</f>
        <v>3006224.1260667825</v>
      </c>
      <c r="Y80" s="63">
        <f>('Prediction Results (Transposed)'!O$3*$B$5*$B$8 + 'Prediction Results (Transposed)'!O$4*$B$6*$B$9+ 'Prediction Results (Transposed)'!O$5*$B$7*$B$10) * (Y23*Y61) * Y4/Y42 * 1/$B$14</f>
        <v>2597683.0788231096</v>
      </c>
      <c r="AA80" s="193">
        <v>2020</v>
      </c>
      <c r="AB80" s="63">
        <f>('Prediction Results (Transposed)'!J$3*$B$5*$B$8 + 'Prediction Results (Transposed)'!J$4*$B$6*$B$9+ 'Prediction Results (Transposed)'!J$5*$B$7*$B$10) * (AB23*AB61) * AB4/AB42 * 1/$B$14</f>
        <v>128313473.20350681</v>
      </c>
      <c r="AC80" s="63">
        <f>('Prediction Results (Transposed)'!K$3*$B$5*$B$8 + 'Prediction Results (Transposed)'!K$4*$B$6*$B$9+ 'Prediction Results (Transposed)'!K$5*$B$7*$B$10) * (AC23*AC61) * AC4/AC42 * 1/$B$14</f>
        <v>138611253.11943674</v>
      </c>
      <c r="AD80" s="63">
        <f>('Prediction Results (Transposed)'!L$3*$B$5*$B$8 + 'Prediction Results (Transposed)'!L$4*$B$6*$B$9+ 'Prediction Results (Transposed)'!L$5*$B$7*$B$10) * (AD23*AD61) * AD4/AD42 * 1/$B$14</f>
        <v>6202373.4777053883</v>
      </c>
      <c r="AE80" s="63">
        <f>('Prediction Results (Transposed)'!M$3*$B$5*$B$8 + 'Prediction Results (Transposed)'!M$4*$B$6*$B$9+ 'Prediction Results (Transposed)'!M$5*$B$7*$B$10) * (AE23*AE61) * AE4/AE42 * 1/$B$14</f>
        <v>994365.72400941059</v>
      </c>
      <c r="AF80" s="63">
        <f>('Prediction Results (Transposed)'!N$3*$B$5*$B$8 + 'Prediction Results (Transposed)'!N$4*$B$6*$B$9+ 'Prediction Results (Transposed)'!N$5*$B$7*$B$10) * (AF23*AF61) * AF4/AF42 * 1/$B$14</f>
        <v>3006224.1260667825</v>
      </c>
      <c r="AG80" s="63">
        <f>('Prediction Results (Transposed)'!O$3*$B$5*$B$8 + 'Prediction Results (Transposed)'!O$4*$B$6*$B$9+ 'Prediction Results (Transposed)'!O$5*$B$7*$B$10) * (AG23*AG61) * AG4/AG42 * 1/$B$14</f>
        <v>2597683.0788231096</v>
      </c>
    </row>
    <row r="81" spans="1:33">
      <c r="A81" s="262"/>
      <c r="B81" s="263"/>
      <c r="C81" s="193">
        <v>2021</v>
      </c>
      <c r="D81" s="63">
        <f>('Prediction Results (Transposed)'!J$3*$B$5*$B$8 + 'Prediction Results (Transposed)'!J$4*$B$6*$B$9+ 'Prediction Results (Transposed)'!J$5*$B$7*$B$10) *(D24*D62) *D5/(D43 *$B$14)</f>
        <v>136907121.79122195</v>
      </c>
      <c r="E81" s="63">
        <f>('Prediction Results (Transposed)'!K$3*$B$5*$B$8 + 'Prediction Results (Transposed)'!K$4*$B$6*$B$9+ 'Prediction Results (Transposed)'!K$5*$B$7*$B$10) *(E24*E62) *E5/(E43 *$B$14)</f>
        <v>147894583.77733308</v>
      </c>
      <c r="F81" s="63">
        <f>('Prediction Results (Transposed)'!L$3*$B$5*$B$8 + 'Prediction Results (Transposed)'!L$4*$B$6*$B$9+ 'Prediction Results (Transposed)'!L$5*$B$7*$B$10) *(F24*F62) *F5/(F43 *$B$14)</f>
        <v>6617770.370536969</v>
      </c>
      <c r="G81" s="63">
        <f>('Prediction Results (Transposed)'!M$3*$B$5*$B$8 + 'Prediction Results (Transposed)'!M$4*$B$6*$B$9+ 'Prediction Results (Transposed)'!M$5*$B$7*$B$10) *(G24*G62) *G5/(G43 *$B$14)</f>
        <v>1060962.2347768571</v>
      </c>
      <c r="H81" s="63">
        <f>('Prediction Results (Transposed)'!N$3*$B$5*$B$8 + 'Prediction Results (Transposed)'!N$4*$B$6*$B$9+ 'Prediction Results (Transposed)'!N$5*$B$7*$B$10) *(H24*H62) *H5/(H43 *$B$14)</f>
        <v>3207562.5597506347</v>
      </c>
      <c r="I81" s="63">
        <f>('Prediction Results (Transposed)'!O$3*$B$5*$B$8 + 'Prediction Results (Transposed)'!O$4*$B$6*$B$9+ 'Prediction Results (Transposed)'!O$5*$B$7*$B$10) *(I24*I62) *I5/(I43 *$B$14)</f>
        <v>2771659.9416133026</v>
      </c>
      <c r="K81" s="193">
        <v>2021</v>
      </c>
      <c r="L81" s="63">
        <f>('Prediction Results (Transposed)'!J$3*$B$5*$B$8 + 'Prediction Results (Transposed)'!J$4*$B$6*$B$9+ 'Prediction Results (Transposed)'!J$5*$B$7*$B$10) * (L24*L62) * L5/L43 * 1/$B$14</f>
        <v>137603167.34491277</v>
      </c>
      <c r="M81" s="63">
        <f>('Prediction Results (Transposed)'!K$3*$B$5*$B$8 + 'Prediction Results (Transposed)'!K$4*$B$6*$B$9+ 'Prediction Results (Transposed)'!K$5*$B$7*$B$10) * (M24*M62) * M5/M43 * 1/$B$14</f>
        <v>148646490.36996561</v>
      </c>
      <c r="N81" s="63">
        <f>('Prediction Results (Transposed)'!L$3*$B$5*$B$8 + 'Prediction Results (Transposed)'!L$4*$B$6*$B$9+ 'Prediction Results (Transposed)'!L$5*$B$7*$B$10) * (N24*N62) * N5/N43 * 1/$B$14</f>
        <v>6651415.5862240186</v>
      </c>
      <c r="O81" s="63">
        <f>('Prediction Results (Transposed)'!M$3*$B$5*$B$8 + 'Prediction Results (Transposed)'!M$4*$B$6*$B$9+ 'Prediction Results (Transposed)'!M$5*$B$7*$B$10) * (O24*O62) * O5/O43 * 1/$B$14</f>
        <v>1066356.2423090327</v>
      </c>
      <c r="P81" s="63">
        <f>('Prediction Results (Transposed)'!N$3*$B$5*$B$8 + 'Prediction Results (Transposed)'!N$4*$B$6*$B$9+ 'Prediction Results (Transposed)'!N$5*$B$7*$B$10) * (P24*P62) * P5/P43 * 1/$B$14</f>
        <v>3223870.0361528066</v>
      </c>
      <c r="Q81" s="63">
        <f>('Prediction Results (Transposed)'!O$3*$B$5*$B$8 + 'Prediction Results (Transposed)'!O$4*$B$6*$B$9+ 'Prediction Results (Transposed)'!O$5*$B$7*$B$10) * (Q24*Q62) * Q5/Q43 * 1/$B$14</f>
        <v>2785751.2580726817</v>
      </c>
      <c r="S81" s="193">
        <v>2021</v>
      </c>
      <c r="T81" s="63">
        <f>('Prediction Results (Transposed)'!J$3*$B$5*$B$8 + 'Prediction Results (Transposed)'!J$4*$B$6*$B$9+ 'Prediction Results (Transposed)'!J$5*$B$7*$B$10) * (T24*T62) * T5/T43 * 1/$B$14</f>
        <v>138778575.27172905</v>
      </c>
      <c r="U81" s="63">
        <f>('Prediction Results (Transposed)'!K$3*$B$5*$B$8 + 'Prediction Results (Transposed)'!K$4*$B$6*$B$9+ 'Prediction Results (Transposed)'!K$5*$B$7*$B$10) * (U24*U62) * U5/U43 * 1/$B$14</f>
        <v>149916230.49619636</v>
      </c>
      <c r="V81" s="63">
        <f>('Prediction Results (Transposed)'!L$3*$B$5*$B$8 + 'Prediction Results (Transposed)'!L$4*$B$6*$B$9+ 'Prediction Results (Transposed)'!L$5*$B$7*$B$10) * (V24*V62) * V5/V43 * 1/$B$14</f>
        <v>6708232.0589509904</v>
      </c>
      <c r="W81" s="63">
        <f>('Prediction Results (Transposed)'!M$3*$B$5*$B$8 + 'Prediction Results (Transposed)'!M$4*$B$6*$B$9+ 'Prediction Results (Transposed)'!M$5*$B$7*$B$10) * (W24*W62) * W5/W43 * 1/$B$14</f>
        <v>1075465.070283016</v>
      </c>
      <c r="X81" s="63">
        <f>('Prediction Results (Transposed)'!N$3*$B$5*$B$8 + 'Prediction Results (Transposed)'!N$4*$B$6*$B$9+ 'Prediction Results (Transposed)'!N$5*$B$7*$B$10) * (X24*X62) * X5/X43 * 1/$B$14</f>
        <v>3251408.3731594044</v>
      </c>
      <c r="Y81" s="63">
        <f>('Prediction Results (Transposed)'!O$3*$B$5*$B$8 + 'Prediction Results (Transposed)'!O$4*$B$6*$B$9+ 'Prediction Results (Transposed)'!O$5*$B$7*$B$10) * (Y24*Y62) * Y5/Y43 * 1/$B$14</f>
        <v>2809547.1791554405</v>
      </c>
      <c r="AA81" s="193">
        <v>2021</v>
      </c>
      <c r="AB81" s="63">
        <f>('Prediction Results (Transposed)'!J$3*$B$5*$B$8 + 'Prediction Results (Transposed)'!J$4*$B$6*$B$9+ 'Prediction Results (Transposed)'!J$5*$B$7*$B$10) * (AB24*AB62) * AB5/AB43 * 1/$B$14</f>
        <v>138811556.35283405</v>
      </c>
      <c r="AC81" s="63">
        <f>('Prediction Results (Transposed)'!K$3*$B$5*$B$8 + 'Prediction Results (Transposed)'!K$4*$B$6*$B$9+ 'Prediction Results (Transposed)'!K$5*$B$7*$B$10) * (AC24*AC62) * AC5/AC43 * 1/$B$14</f>
        <v>149951858.46937066</v>
      </c>
      <c r="AD81" s="63">
        <f>('Prediction Results (Transposed)'!L$3*$B$5*$B$8 + 'Prediction Results (Transposed)'!L$4*$B$6*$B$9+ 'Prediction Results (Transposed)'!L$5*$B$7*$B$10) * (AD24*AD62) * AD5/AD43 * 1/$B$14</f>
        <v>6709826.2873480897</v>
      </c>
      <c r="AE81" s="63">
        <f>('Prediction Results (Transposed)'!M$3*$B$5*$B$8 + 'Prediction Results (Transposed)'!M$4*$B$6*$B$9+ 'Prediction Results (Transposed)'!M$5*$B$7*$B$10) * (AE24*AE62) * AE5/AE43 * 1/$B$14</f>
        <v>1075720.6572901539</v>
      </c>
      <c r="AF81" s="63">
        <f>('Prediction Results (Transposed)'!N$3*$B$5*$B$8 + 'Prediction Results (Transposed)'!N$4*$B$6*$B$9+ 'Prediction Results (Transposed)'!N$5*$B$7*$B$10) * (AF24*AF62) * AF5/AF43 * 1/$B$14</f>
        <v>3252181.0786224101</v>
      </c>
      <c r="AG81" s="63">
        <f>('Prediction Results (Transposed)'!O$3*$B$5*$B$8 + 'Prediction Results (Transposed)'!O$4*$B$6*$B$9+ 'Prediction Results (Transposed)'!O$5*$B$7*$B$10) * (AG24*AG62) * AG5/AG43 * 1/$B$14</f>
        <v>2810214.875182746</v>
      </c>
    </row>
    <row r="82" spans="1:33">
      <c r="A82" s="262"/>
      <c r="B82" s="263"/>
      <c r="C82" s="193">
        <v>2022</v>
      </c>
      <c r="D82" s="63">
        <f>('Prediction Results (Transposed)'!J$3*$B$5*$B$8 + 'Prediction Results (Transposed)'!J$4*$B$6*$B$9+ 'Prediction Results (Transposed)'!J$5*$B$7*$B$10) *(D25*D63) *D6/(D44 *$B$14)</f>
        <v>146036634.80395627</v>
      </c>
      <c r="E82" s="63">
        <f>('Prediction Results (Transposed)'!K$3*$B$5*$B$8 + 'Prediction Results (Transposed)'!K$4*$B$6*$B$9+ 'Prediction Results (Transposed)'!K$5*$B$7*$B$10) *(E25*E63) *E6/(E44 *$B$14)</f>
        <v>157756784.58502451</v>
      </c>
      <c r="F82" s="63">
        <f>('Prediction Results (Transposed)'!L$3*$B$5*$B$8 + 'Prediction Results (Transposed)'!L$4*$B$6*$B$9+ 'Prediction Results (Transposed)'!L$5*$B$7*$B$10) *(F25*F63) *F6/(F44 *$B$14)</f>
        <v>7059069.6975744488</v>
      </c>
      <c r="G82" s="63">
        <f>('Prediction Results (Transposed)'!M$3*$B$5*$B$8 + 'Prediction Results (Transposed)'!M$4*$B$6*$B$9+ 'Prediction Results (Transposed)'!M$5*$B$7*$B$10) *(G25*G63) *G6/(G44 *$B$14)</f>
        <v>1131711.4288413259</v>
      </c>
      <c r="H82" s="63">
        <f>('Prediction Results (Transposed)'!N$3*$B$5*$B$8 + 'Prediction Results (Transposed)'!N$4*$B$6*$B$9+ 'Prediction Results (Transposed)'!N$5*$B$7*$B$10) *(H25*H63) *H6/(H44 *$B$14)</f>
        <v>3421455.6264170944</v>
      </c>
      <c r="I82" s="63">
        <f>('Prediction Results (Transposed)'!O$3*$B$5*$B$8 + 'Prediction Results (Transposed)'!O$4*$B$6*$B$9+ 'Prediction Results (Transposed)'!O$5*$B$7*$B$10) *(I25*I63) *I6/(I44 *$B$14)</f>
        <v>2956485.2828575713</v>
      </c>
      <c r="K82" s="193">
        <v>2022</v>
      </c>
      <c r="L82" s="63">
        <f>('Prediction Results (Transposed)'!J$3*$B$5*$B$8 + 'Prediction Results (Transposed)'!J$4*$B$6*$B$9+ 'Prediction Results (Transposed)'!J$5*$B$7*$B$10) * (L25*L63) * L6/L44 * 1/$B$14</f>
        <v>147510948.65609097</v>
      </c>
      <c r="M82" s="63">
        <f>('Prediction Results (Transposed)'!K$3*$B$5*$B$8 + 'Prediction Results (Transposed)'!K$4*$B$6*$B$9+ 'Prediction Results (Transposed)'!K$5*$B$7*$B$10) * (M25*M63) * M6/M44 * 1/$B$14</f>
        <v>159349419.28996792</v>
      </c>
      <c r="N82" s="63">
        <f>('Prediction Results (Transposed)'!L$3*$B$5*$B$8 + 'Prediction Results (Transposed)'!L$4*$B$6*$B$9+ 'Prediction Results (Transposed)'!L$5*$B$7*$B$10) * (N25*N63) * N6/N44 * 1/$B$14</f>
        <v>7130334.5843084482</v>
      </c>
      <c r="O82" s="63">
        <f>('Prediction Results (Transposed)'!M$3*$B$5*$B$8 + 'Prediction Results (Transposed)'!M$4*$B$6*$B$9+ 'Prediction Results (Transposed)'!M$5*$B$7*$B$10) * (O25*O63) * O6/O44 * 1/$B$14</f>
        <v>1143136.6293630975</v>
      </c>
      <c r="P82" s="63">
        <f>('Prediction Results (Transposed)'!N$3*$B$5*$B$8 + 'Prediction Results (Transposed)'!N$4*$B$6*$B$9+ 'Prediction Results (Transposed)'!N$5*$B$7*$B$10) * (P25*P63) * P6/P44 * 1/$B$14</f>
        <v>3455996.9552505226</v>
      </c>
      <c r="Q82" s="63">
        <f>('Prediction Results (Transposed)'!O$3*$B$5*$B$8 + 'Prediction Results (Transposed)'!O$4*$B$6*$B$9+ 'Prediction Results (Transposed)'!O$5*$B$7*$B$10) * (Q25*Q63) * Q6/Q44 * 1/$B$14</f>
        <v>2986332.500386246</v>
      </c>
      <c r="S82" s="193">
        <v>2022</v>
      </c>
      <c r="T82" s="63">
        <f>('Prediction Results (Transposed)'!J$3*$B$5*$B$8 + 'Prediction Results (Transposed)'!J$4*$B$6*$B$9+ 'Prediction Results (Transposed)'!J$5*$B$7*$B$10) * (T25*T63) * T6/T44 * 1/$B$14</f>
        <v>150009539.26662037</v>
      </c>
      <c r="U82" s="63">
        <f>('Prediction Results (Transposed)'!K$3*$B$5*$B$8 + 'Prediction Results (Transposed)'!K$4*$B$6*$B$9+ 'Prediction Results (Transposed)'!K$5*$B$7*$B$10) * (U25*U63) * U6/U44 * 1/$B$14</f>
        <v>162048533.9418537</v>
      </c>
      <c r="V82" s="63">
        <f>('Prediction Results (Transposed)'!L$3*$B$5*$B$8 + 'Prediction Results (Transposed)'!L$4*$B$6*$B$9+ 'Prediction Results (Transposed)'!L$5*$B$7*$B$10) * (V25*V63) * V6/V44 * 1/$B$14</f>
        <v>7251110.6162206437</v>
      </c>
      <c r="W82" s="63">
        <f>('Prediction Results (Transposed)'!M$3*$B$5*$B$8 + 'Prediction Results (Transposed)'!M$4*$B$6*$B$9+ 'Prediction Results (Transposed)'!M$5*$B$7*$B$10) * (W25*W63) * W6/W44 * 1/$B$14</f>
        <v>1162499.4663233419</v>
      </c>
      <c r="X82" s="63">
        <f>('Prediction Results (Transposed)'!N$3*$B$5*$B$8 + 'Prediction Results (Transposed)'!N$4*$B$6*$B$9+ 'Prediction Results (Transposed)'!N$5*$B$7*$B$10) * (X25*X63) * X6/X44 * 1/$B$14</f>
        <v>3514535.8069159631</v>
      </c>
      <c r="Y82" s="63">
        <f>('Prediction Results (Transposed)'!O$3*$B$5*$B$8 + 'Prediction Results (Transposed)'!O$4*$B$6*$B$9+ 'Prediction Results (Transposed)'!O$5*$B$7*$B$10) * (Y25*Y63) * Y6/Y44 * 1/$B$14</f>
        <v>3036916.0158023126</v>
      </c>
      <c r="AA82" s="193">
        <v>2022</v>
      </c>
      <c r="AB82" s="63">
        <f>('Prediction Results (Transposed)'!J$3*$B$5*$B$8 + 'Prediction Results (Transposed)'!J$4*$B$6*$B$9+ 'Prediction Results (Transposed)'!J$5*$B$7*$B$10) * (AB25*AB63) * AB6/AB44 * 1/$B$14</f>
        <v>150070714.72367162</v>
      </c>
      <c r="AC82" s="63">
        <f>('Prediction Results (Transposed)'!K$3*$B$5*$B$8 + 'Prediction Results (Transposed)'!K$4*$B$6*$B$9+ 'Prediction Results (Transposed)'!K$5*$B$7*$B$10) * (AC25*AC63) * AC6/AC44 * 1/$B$14</f>
        <v>162114619.02668789</v>
      </c>
      <c r="AD82" s="63">
        <f>('Prediction Results (Transposed)'!L$3*$B$5*$B$8 + 'Prediction Results (Transposed)'!L$4*$B$6*$B$9+ 'Prediction Results (Transposed)'!L$5*$B$7*$B$10) * (AD25*AD63) * AD6/AD44 * 1/$B$14</f>
        <v>7254067.6948720738</v>
      </c>
      <c r="AE82" s="63">
        <f>('Prediction Results (Transposed)'!M$3*$B$5*$B$8 + 'Prediction Results (Transposed)'!M$4*$B$6*$B$9+ 'Prediction Results (Transposed)'!M$5*$B$7*$B$10) * (AE25*AE63) * AE6/AE44 * 1/$B$14</f>
        <v>1162973.5457487025</v>
      </c>
      <c r="AF82" s="63">
        <f>('Prediction Results (Transposed)'!N$3*$B$5*$B$8 + 'Prediction Results (Transposed)'!N$4*$B$6*$B$9+ 'Prediction Results (Transposed)'!N$5*$B$7*$B$10) * (AF25*AF63) * AF6/AF44 * 1/$B$14</f>
        <v>3515969.0713294274</v>
      </c>
      <c r="AG82" s="63">
        <f>('Prediction Results (Transposed)'!O$3*$B$5*$B$8 + 'Prediction Results (Transposed)'!O$4*$B$6*$B$9+ 'Prediction Results (Transposed)'!O$5*$B$7*$B$10) * (AG25*AG63) * AG6/AG44 * 1/$B$14</f>
        <v>3038154.5018759402</v>
      </c>
    </row>
    <row r="83" spans="1:33">
      <c r="A83" s="262"/>
      <c r="B83" s="263"/>
      <c r="C83" s="193">
        <v>2023</v>
      </c>
      <c r="D83" s="63">
        <f>('Prediction Results (Transposed)'!J$3*$B$5*$B$8 + 'Prediction Results (Transposed)'!J$4*$B$6*$B$9+ 'Prediction Results (Transposed)'!J$5*$B$7*$B$10) *(D26*D64) *D7/(D45 *$B$14)</f>
        <v>155733463.23287666</v>
      </c>
      <c r="E83" s="63">
        <f>('Prediction Results (Transposed)'!K$3*$B$5*$B$8 + 'Prediction Results (Transposed)'!K$4*$B$6*$B$9+ 'Prediction Results (Transposed)'!K$5*$B$7*$B$10) *(E26*E64) *E7/(E45 *$B$14)</f>
        <v>168231830.62859228</v>
      </c>
      <c r="F83" s="63">
        <f>('Prediction Results (Transposed)'!L$3*$B$5*$B$8 + 'Prediction Results (Transposed)'!L$4*$B$6*$B$9+ 'Prediction Results (Transposed)'!L$5*$B$7*$B$10) *(F26*F64) *F7/(F45 *$B$14)</f>
        <v>7527791.7262425357</v>
      </c>
      <c r="G83" s="63">
        <f>('Prediction Results (Transposed)'!M$3*$B$5*$B$8 + 'Prediction Results (Transposed)'!M$4*$B$6*$B$9+ 'Prediction Results (Transposed)'!M$5*$B$7*$B$10) *(G26*G64) *G7/(G45 *$B$14)</f>
        <v>1206857.0357724535</v>
      </c>
      <c r="H83" s="63">
        <f>('Prediction Results (Transposed)'!N$3*$B$5*$B$8 + 'Prediction Results (Transposed)'!N$4*$B$6*$B$9+ 'Prediction Results (Transposed)'!N$5*$B$7*$B$10) *(H26*H64) *H7/(H45 *$B$14)</f>
        <v>3648640.1834364273</v>
      </c>
      <c r="I83" s="63">
        <f>('Prediction Results (Transposed)'!O$3*$B$5*$B$8 + 'Prediction Results (Transposed)'!O$4*$B$6*$B$9+ 'Prediction Results (Transposed)'!O$5*$B$7*$B$10) *(I26*I64) *I7/(I45 *$B$14)</f>
        <v>3152795.8221889092</v>
      </c>
      <c r="K83" s="193">
        <v>2023</v>
      </c>
      <c r="L83" s="63">
        <f>('Prediction Results (Transposed)'!J$3*$B$5*$B$8 + 'Prediction Results (Transposed)'!J$4*$B$6*$B$9+ 'Prediction Results (Transposed)'!J$5*$B$7*$B$10) * (L26*L64) * L7/L45 * 1/$B$14</f>
        <v>158075059.00324702</v>
      </c>
      <c r="M83" s="63">
        <f>('Prediction Results (Transposed)'!K$3*$B$5*$B$8 + 'Prediction Results (Transposed)'!K$4*$B$6*$B$9+ 'Prediction Results (Transposed)'!K$5*$B$7*$B$10) * (M26*M64) * M7/M45 * 1/$B$14</f>
        <v>170761350.84129387</v>
      </c>
      <c r="N83" s="63">
        <f>('Prediction Results (Transposed)'!L$3*$B$5*$B$8 + 'Prediction Results (Transposed)'!L$4*$B$6*$B$9+ 'Prediction Results (Transposed)'!L$5*$B$7*$B$10) * (N26*N64) * N7/N45 * 1/$B$14</f>
        <v>7640978.9944152087</v>
      </c>
      <c r="O83" s="63">
        <f>('Prediction Results (Transposed)'!M$3*$B$5*$B$8 + 'Prediction Results (Transposed)'!M$4*$B$6*$B$9+ 'Prediction Results (Transposed)'!M$5*$B$7*$B$10) * (O26*O64) * O7/O45 * 1/$B$14</f>
        <v>1225003.2406518806</v>
      </c>
      <c r="P83" s="63">
        <f>('Prediction Results (Transposed)'!N$3*$B$5*$B$8 + 'Prediction Results (Transposed)'!N$4*$B$6*$B$9+ 'Prediction Results (Transposed)'!N$5*$B$7*$B$10) * (P26*P64) * P7/P45 * 1/$B$14</f>
        <v>3703500.8424353371</v>
      </c>
      <c r="Q83" s="63">
        <f>('Prediction Results (Transposed)'!O$3*$B$5*$B$8 + 'Prediction Results (Transposed)'!O$4*$B$6*$B$9+ 'Prediction Results (Transposed)'!O$5*$B$7*$B$10) * (Q26*Q64) * Q7/Q45 * 1/$B$14</f>
        <v>3200201.005434846</v>
      </c>
      <c r="S83" s="193">
        <v>2023</v>
      </c>
      <c r="T83" s="63">
        <f>('Prediction Results (Transposed)'!J$3*$B$5*$B$8 + 'Prediction Results (Transposed)'!J$4*$B$6*$B$9+ 'Prediction Results (Transposed)'!J$5*$B$7*$B$10) * (T26*T64) * T7/T45 * 1/$B$14</f>
        <v>162057380.16611159</v>
      </c>
      <c r="U83" s="63">
        <f>('Prediction Results (Transposed)'!K$3*$B$5*$B$8 + 'Prediction Results (Transposed)'!K$4*$B$6*$B$9+ 'Prediction Results (Transposed)'!K$5*$B$7*$B$10) * (U26*U64) * U7/U45 * 1/$B$14</f>
        <v>175063272.6342862</v>
      </c>
      <c r="V83" s="63">
        <f>('Prediction Results (Transposed)'!L$3*$B$5*$B$8 + 'Prediction Results (Transposed)'!L$4*$B$6*$B$9+ 'Prediction Results (Transposed)'!L$5*$B$7*$B$10) * (V26*V64) * V7/V45 * 1/$B$14</f>
        <v>7833475.0943460511</v>
      </c>
      <c r="W83" s="63">
        <f>('Prediction Results (Transposed)'!M$3*$B$5*$B$8 + 'Prediction Results (Transposed)'!M$4*$B$6*$B$9+ 'Prediction Results (Transposed)'!M$5*$B$7*$B$10) * (W26*W64) * W7/W45 * 1/$B$14</f>
        <v>1255864.2528861093</v>
      </c>
      <c r="X83" s="63">
        <f>('Prediction Results (Transposed)'!N$3*$B$5*$B$8 + 'Prediction Results (Transposed)'!N$4*$B$6*$B$9+ 'Prediction Results (Transposed)'!N$5*$B$7*$B$10) * (X26*X64) * X7/X45 * 1/$B$14</f>
        <v>3796801.644437341</v>
      </c>
      <c r="Y83" s="63">
        <f>('Prediction Results (Transposed)'!O$3*$B$5*$B$8 + 'Prediction Results (Transposed)'!O$4*$B$6*$B$9+ 'Prediction Results (Transposed)'!O$5*$B$7*$B$10) * (Y26*Y64) * Y7/Y45 * 1/$B$14</f>
        <v>3280822.3777735513</v>
      </c>
      <c r="AA83" s="193">
        <v>2023</v>
      </c>
      <c r="AB83" s="63">
        <f>('Prediction Results (Transposed)'!J$3*$B$5*$B$8 + 'Prediction Results (Transposed)'!J$4*$B$6*$B$9+ 'Prediction Results (Transposed)'!J$5*$B$7*$B$10) * (AB26*AB64) * AB7/AB45 * 1/$B$14</f>
        <v>162140859.2504423</v>
      </c>
      <c r="AC83" s="63">
        <f>('Prediction Results (Transposed)'!K$3*$B$5*$B$8 + 'Prediction Results (Transposed)'!K$4*$B$6*$B$9+ 'Prediction Results (Transposed)'!K$5*$B$7*$B$10) * (AC26*AC64) * AC7/AC45 * 1/$B$14</f>
        <v>175153451.3208999</v>
      </c>
      <c r="AD83" s="63">
        <f>('Prediction Results (Transposed)'!L$3*$B$5*$B$8 + 'Prediction Results (Transposed)'!L$4*$B$6*$B$9+ 'Prediction Results (Transposed)'!L$5*$B$7*$B$10) * (AD26*AD64) * AD7/AD45 * 1/$B$14</f>
        <v>7837510.2782255663</v>
      </c>
      <c r="AE83" s="63">
        <f>('Prediction Results (Transposed)'!M$3*$B$5*$B$8 + 'Prediction Results (Transposed)'!M$4*$B$6*$B$9+ 'Prediction Results (Transposed)'!M$5*$B$7*$B$10) * (AE26*AE64) * AE7/AE45 * 1/$B$14</f>
        <v>1256511.1743516237</v>
      </c>
      <c r="AF83" s="63">
        <f>('Prediction Results (Transposed)'!N$3*$B$5*$B$8 + 'Prediction Results (Transposed)'!N$4*$B$6*$B$9+ 'Prediction Results (Transposed)'!N$5*$B$7*$B$10) * (AF26*AF64) * AF7/AF45 * 1/$B$14</f>
        <v>3798757.4549307469</v>
      </c>
      <c r="AG83" s="63">
        <f>('Prediction Results (Transposed)'!O$3*$B$5*$B$8 + 'Prediction Results (Transposed)'!O$4*$B$6*$B$9+ 'Prediction Results (Transposed)'!O$5*$B$7*$B$10) * (AG26*AG64) * AG7/AG45 * 1/$B$14</f>
        <v>3282512.3967511961</v>
      </c>
    </row>
    <row r="84" spans="1:33">
      <c r="A84" s="262"/>
      <c r="B84" s="263"/>
      <c r="C84" s="193">
        <v>2024</v>
      </c>
      <c r="D84" s="63">
        <f>('Prediction Results (Transposed)'!J$3*$B$5*$B$8 + 'Prediction Results (Transposed)'!J$4*$B$6*$B$9+ 'Prediction Results (Transposed)'!J$5*$B$7*$B$10) *(D27*D65) *D8/(D46 *$B$14)</f>
        <v>166030813.44140878</v>
      </c>
      <c r="E84" s="63">
        <f>('Prediction Results (Transposed)'!K$3*$B$5*$B$8 + 'Prediction Results (Transposed)'!K$4*$B$6*$B$9+ 'Prediction Results (Transposed)'!K$5*$B$7*$B$10) *(E27*E65) *E8/(E46 *$B$14)</f>
        <v>179355593.24353275</v>
      </c>
      <c r="F84" s="63">
        <f>('Prediction Results (Transposed)'!L$3*$B$5*$B$8 + 'Prediction Results (Transposed)'!L$4*$B$6*$B$9+ 'Prediction Results (Transposed)'!L$5*$B$7*$B$10) *(F27*F65) *F8/(F46 *$B$14)</f>
        <v>8025541.5745593086</v>
      </c>
      <c r="G84" s="63">
        <f>('Prediction Results (Transposed)'!M$3*$B$5*$B$8 + 'Prediction Results (Transposed)'!M$4*$B$6*$B$9+ 'Prediction Results (Transposed)'!M$5*$B$7*$B$10) *(G27*G65) *G8/(G46 *$B$14)</f>
        <v>1286656.3884035351</v>
      </c>
      <c r="H84" s="63">
        <f>('Prediction Results (Transposed)'!N$3*$B$5*$B$8 + 'Prediction Results (Transposed)'!N$4*$B$6*$B$9+ 'Prediction Results (Transposed)'!N$5*$B$7*$B$10) *(H27*H65) *H8/(H46 *$B$14)</f>
        <v>3889894.2143545314</v>
      </c>
      <c r="I84" s="63">
        <f>('Prediction Results (Transposed)'!O$3*$B$5*$B$8 + 'Prediction Results (Transposed)'!O$4*$B$6*$B$9+ 'Prediction Results (Transposed)'!O$5*$B$7*$B$10) *(I27*I65) *I8/(I46 *$B$14)</f>
        <v>3361263.8164344924</v>
      </c>
      <c r="K84" s="193">
        <v>2024</v>
      </c>
      <c r="L84" s="63">
        <f>('Prediction Results (Transposed)'!J$3*$B$5*$B$8 + 'Prediction Results (Transposed)'!J$4*$B$6*$B$9+ 'Prediction Results (Transposed)'!J$5*$B$7*$B$10) * (L27*L65) * L8/L46 * 1/$B$14</f>
        <v>169335967.39829585</v>
      </c>
      <c r="M84" s="63">
        <f>('Prediction Results (Transposed)'!K$3*$B$5*$B$8 + 'Prediction Results (Transposed)'!K$4*$B$6*$B$9+ 'Prediction Results (Transposed)'!K$5*$B$7*$B$10) * (M27*M65) * M8/M46 * 1/$B$14</f>
        <v>182926001.87077156</v>
      </c>
      <c r="N84" s="63">
        <f>('Prediction Results (Transposed)'!L$3*$B$5*$B$8 + 'Prediction Results (Transposed)'!L$4*$B$6*$B$9+ 'Prediction Results (Transposed)'!L$5*$B$7*$B$10) * (N27*N65) * N8/N46 * 1/$B$14</f>
        <v>8185304.9940204592</v>
      </c>
      <c r="O84" s="63">
        <f>('Prediction Results (Transposed)'!M$3*$B$5*$B$8 + 'Prediction Results (Transposed)'!M$4*$B$6*$B$9+ 'Prediction Results (Transposed)'!M$5*$B$7*$B$10) * (O27*O65) * O8/O46 * 1/$B$14</f>
        <v>1312269.6909293742</v>
      </c>
      <c r="P84" s="63">
        <f>('Prediction Results (Transposed)'!N$3*$B$5*$B$8 + 'Prediction Results (Transposed)'!N$4*$B$6*$B$9+ 'Prediction Results (Transposed)'!N$5*$B$7*$B$10) * (P27*P65) * P8/P46 * 1/$B$14</f>
        <v>3967329.8360199207</v>
      </c>
      <c r="Q84" s="63">
        <f>('Prediction Results (Transposed)'!O$3*$B$5*$B$8 + 'Prediction Results (Transposed)'!O$4*$B$6*$B$9+ 'Prediction Results (Transposed)'!O$5*$B$7*$B$10) * (Q27*Q65) * Q8/Q46 * 1/$B$14</f>
        <v>3428176.0610519676</v>
      </c>
      <c r="S84" s="193">
        <v>2024</v>
      </c>
      <c r="T84" s="63">
        <f>('Prediction Results (Transposed)'!J$3*$B$5*$B$8 + 'Prediction Results (Transposed)'!J$4*$B$6*$B$9+ 'Prediction Results (Transposed)'!J$5*$B$7*$B$10) * (T27*T65) * T8/T46 * 1/$B$14</f>
        <v>174976257.32161298</v>
      </c>
      <c r="U84" s="63">
        <f>('Prediction Results (Transposed)'!K$3*$B$5*$B$8 + 'Prediction Results (Transposed)'!K$4*$B$6*$B$9+ 'Prediction Results (Transposed)'!K$5*$B$7*$B$10) * (U27*U65) * U8/U46 * 1/$B$14</f>
        <v>189018952.47610638</v>
      </c>
      <c r="V84" s="63">
        <f>('Prediction Results (Transposed)'!L$3*$B$5*$B$8 + 'Prediction Results (Transposed)'!L$4*$B$6*$B$9+ 'Prediction Results (Transposed)'!L$5*$B$7*$B$10) * (V27*V65) * V8/V46 * 1/$B$14</f>
        <v>8457943.4298257735</v>
      </c>
      <c r="W84" s="63">
        <f>('Prediction Results (Transposed)'!M$3*$B$5*$B$8 + 'Prediction Results (Transposed)'!M$4*$B$6*$B$9+ 'Prediction Results (Transposed)'!M$5*$B$7*$B$10) * (W27*W65) * W8/W46 * 1/$B$14</f>
        <v>1355979.138060675</v>
      </c>
      <c r="X84" s="63">
        <f>('Prediction Results (Transposed)'!N$3*$B$5*$B$8 + 'Prediction Results (Transposed)'!N$4*$B$6*$B$9+ 'Prediction Results (Transposed)'!N$5*$B$7*$B$10) * (X27*X65) * X8/X46 * 1/$B$14</f>
        <v>4099474.7715606713</v>
      </c>
      <c r="Y84" s="63">
        <f>('Prediction Results (Transposed)'!O$3*$B$5*$B$8 + 'Prediction Results (Transposed)'!O$4*$B$6*$B$9+ 'Prediction Results (Transposed)'!O$5*$B$7*$B$10) * (Y27*Y65) * Y8/Y46 * 1/$B$14</f>
        <v>3542362.7113518887</v>
      </c>
      <c r="AA84" s="193">
        <v>2024</v>
      </c>
      <c r="AB84" s="63">
        <f>('Prediction Results (Transposed)'!J$3*$B$5*$B$8 + 'Prediction Results (Transposed)'!J$4*$B$6*$B$9+ 'Prediction Results (Transposed)'!J$5*$B$7*$B$10) * (AB27*AB65) * AB8/AB46 * 1/$B$14</f>
        <v>175074926.91255769</v>
      </c>
      <c r="AC84" s="63">
        <f>('Prediction Results (Transposed)'!K$3*$B$5*$B$8 + 'Prediction Results (Transposed)'!K$4*$B$6*$B$9+ 'Prediction Results (Transposed)'!K$5*$B$7*$B$10) * (AC27*AC65) * AC8/AC46 * 1/$B$14</f>
        <v>189125540.78132614</v>
      </c>
      <c r="AD84" s="63">
        <f>('Prediction Results (Transposed)'!L$3*$B$5*$B$8 + 'Prediction Results (Transposed)'!L$4*$B$6*$B$9+ 'Prediction Results (Transposed)'!L$5*$B$7*$B$10) * (AD27*AD65) * AD8/AD46 * 1/$B$14</f>
        <v>8462712.8873009104</v>
      </c>
      <c r="AE84" s="63">
        <f>('Prediction Results (Transposed)'!M$3*$B$5*$B$8 + 'Prediction Results (Transposed)'!M$4*$B$6*$B$9+ 'Prediction Results (Transposed)'!M$5*$B$7*$B$10) * (AE27*AE65) * AE8/AE46 * 1/$B$14</f>
        <v>1356743.7784120573</v>
      </c>
      <c r="AF84" s="63">
        <f>('Prediction Results (Transposed)'!N$3*$B$5*$B$8 + 'Prediction Results (Transposed)'!N$4*$B$6*$B$9+ 'Prediction Results (Transposed)'!N$5*$B$7*$B$10) * (AF27*AF65) * AF8/AF46 * 1/$B$14</f>
        <v>4101786.4766170611</v>
      </c>
      <c r="AG84" s="63">
        <f>('Prediction Results (Transposed)'!O$3*$B$5*$B$8 + 'Prediction Results (Transposed)'!O$4*$B$6*$B$9+ 'Prediction Results (Transposed)'!O$5*$B$7*$B$10) * (AG27*AG65) * AG8/AG46 * 1/$B$14</f>
        <v>3544360.2593910205</v>
      </c>
    </row>
    <row r="85" spans="1:33">
      <c r="A85" s="262"/>
      <c r="B85" s="263"/>
      <c r="C85" s="193">
        <v>2025</v>
      </c>
      <c r="D85" s="63">
        <f>('Prediction Results (Transposed)'!J$3*$B$5*$B$8 + 'Prediction Results (Transposed)'!J$4*$B$6*$B$9+ 'Prediction Results (Transposed)'!J$5*$B$7*$B$10) *(D28*D66) *D9/(D47 *$B$14)</f>
        <v>176963741.14679283</v>
      </c>
      <c r="E85" s="63">
        <f>('Prediction Results (Transposed)'!K$3*$B$5*$B$8 + 'Prediction Results (Transposed)'!K$4*$B$6*$B$9+ 'Prediction Results (Transposed)'!K$5*$B$7*$B$10) *(E28*E66) *E9/(E47 *$B$14)</f>
        <v>191165941.53878933</v>
      </c>
      <c r="F85" s="63">
        <f>('Prediction Results (Transposed)'!L$3*$B$5*$B$8 + 'Prediction Results (Transposed)'!L$4*$B$6*$B$9+ 'Prediction Results (Transposed)'!L$5*$B$7*$B$10) *(F28*F66) *F9/(F47 *$B$14)</f>
        <v>8554013.7539850548</v>
      </c>
      <c r="G85" s="63">
        <f>('Prediction Results (Transposed)'!M$3*$B$5*$B$8 + 'Prediction Results (Transposed)'!M$4*$B$6*$B$9+ 'Prediction Results (Transposed)'!M$5*$B$7*$B$10) *(G28*G66) *G9/(G47 *$B$14)</f>
        <v>1371381.1511419322</v>
      </c>
      <c r="H85" s="63">
        <f>('Prediction Results (Transposed)'!N$3*$B$5*$B$8 + 'Prediction Results (Transposed)'!N$4*$B$6*$B$9+ 'Prediction Results (Transposed)'!N$5*$B$7*$B$10) *(H28*H66) *H9/(H47 *$B$14)</f>
        <v>4146039.0307631893</v>
      </c>
      <c r="I85" s="63">
        <f>('Prediction Results (Transposed)'!O$3*$B$5*$B$8 + 'Prediction Results (Transposed)'!O$4*$B$6*$B$9+ 'Prediction Results (Transposed)'!O$5*$B$7*$B$10) *(I28*I66) *I9/(I47 *$B$14)</f>
        <v>3582598.962255301</v>
      </c>
      <c r="K85" s="193">
        <v>2025</v>
      </c>
      <c r="L85" s="63">
        <f>('Prediction Results (Transposed)'!J$3*$B$5*$B$8 + 'Prediction Results (Transposed)'!J$4*$B$6*$B$9+ 'Prediction Results (Transposed)'!J$5*$B$7*$B$10) * (L28*L66) * L9/L47 * 1/$B$14</f>
        <v>181336493.41863012</v>
      </c>
      <c r="M85" s="63">
        <f>('Prediction Results (Transposed)'!K$3*$B$5*$B$8 + 'Prediction Results (Transposed)'!K$4*$B$6*$B$9+ 'Prediction Results (Transposed)'!K$5*$B$7*$B$10) * (M28*M66) * M9/M47 * 1/$B$14</f>
        <v>195889628.43501213</v>
      </c>
      <c r="N85" s="63">
        <f>('Prediction Results (Transposed)'!L$3*$B$5*$B$8 + 'Prediction Results (Transposed)'!L$4*$B$6*$B$9+ 'Prediction Results (Transposed)'!L$5*$B$7*$B$10) * (N28*N66) * N9/N47 * 1/$B$14</f>
        <v>8765382.3814432546</v>
      </c>
      <c r="O85" s="63">
        <f>('Prediction Results (Transposed)'!M$3*$B$5*$B$8 + 'Prediction Results (Transposed)'!M$4*$B$6*$B$9+ 'Prediction Results (Transposed)'!M$5*$B$7*$B$10) * (O28*O66) * O9/O47 * 1/$B$14</f>
        <v>1405267.8106652317</v>
      </c>
      <c r="P85" s="63">
        <f>('Prediction Results (Transposed)'!N$3*$B$5*$B$8 + 'Prediction Results (Transposed)'!N$4*$B$6*$B$9+ 'Prediction Results (Transposed)'!N$5*$B$7*$B$10) * (P28*P66) * P9/P47 * 1/$B$14</f>
        <v>4248487.1451249719</v>
      </c>
      <c r="Q85" s="63">
        <f>('Prediction Results (Transposed)'!O$3*$B$5*$B$8 + 'Prediction Results (Transposed)'!O$4*$B$6*$B$9+ 'Prediction Results (Transposed)'!O$5*$B$7*$B$10) * (Q28*Q66) * Q9/Q47 * 1/$B$14</f>
        <v>3671124.541844449</v>
      </c>
      <c r="S85" s="193">
        <v>2025</v>
      </c>
      <c r="T85" s="63">
        <f>('Prediction Results (Transposed)'!J$3*$B$5*$B$8 + 'Prediction Results (Transposed)'!J$4*$B$6*$B$9+ 'Prediction Results (Transposed)'!J$5*$B$7*$B$10) * (T28*T66) * T9/T47 * 1/$B$14</f>
        <v>188823656.54214254</v>
      </c>
      <c r="U85" s="63">
        <f>('Prediction Results (Transposed)'!K$3*$B$5*$B$8 + 'Prediction Results (Transposed)'!K$4*$B$6*$B$9+ 'Prediction Results (Transposed)'!K$5*$B$7*$B$10) * (U28*U66) * U9/U47 * 1/$B$14</f>
        <v>203977672.79192647</v>
      </c>
      <c r="V85" s="63">
        <f>('Prediction Results (Transposed)'!L$3*$B$5*$B$8 + 'Prediction Results (Transposed)'!L$4*$B$6*$B$9+ 'Prediction Results (Transposed)'!L$5*$B$7*$B$10) * (V28*V66) * V9/V47 * 1/$B$14</f>
        <v>9127294.3523465432</v>
      </c>
      <c r="W85" s="63">
        <f>('Prediction Results (Transposed)'!M$3*$B$5*$B$8 + 'Prediction Results (Transposed)'!M$4*$B$6*$B$9+ 'Prediction Results (Transposed)'!M$5*$B$7*$B$10) * (W28*W66) * W9/W47 * 1/$B$14</f>
        <v>1463289.6083316409</v>
      </c>
      <c r="X85" s="63">
        <f>('Prediction Results (Transposed)'!N$3*$B$5*$B$8 + 'Prediction Results (Transposed)'!N$4*$B$6*$B$9+ 'Prediction Results (Transposed)'!N$5*$B$7*$B$10) * (X28*X66) * X9/X47 * 1/$B$14</f>
        <v>4423902.0088626454</v>
      </c>
      <c r="Y85" s="63">
        <f>('Prediction Results (Transposed)'!O$3*$B$5*$B$8 + 'Prediction Results (Transposed)'!O$4*$B$6*$B$9+ 'Prediction Results (Transposed)'!O$5*$B$7*$B$10) * (Y28*Y66) * Y9/Y47 * 1/$B$14</f>
        <v>3822700.8063532417</v>
      </c>
      <c r="AA85" s="193">
        <v>2025</v>
      </c>
      <c r="AB85" s="63">
        <f>('Prediction Results (Transposed)'!J$3*$B$5*$B$8 + 'Prediction Results (Transposed)'!J$4*$B$6*$B$9+ 'Prediction Results (Transposed)'!J$5*$B$7*$B$10) * (AB28*AB66) * AB9/AB47 * 1/$B$14</f>
        <v>188929053.30721456</v>
      </c>
      <c r="AC85" s="63">
        <f>('Prediction Results (Transposed)'!K$3*$B$5*$B$8 + 'Prediction Results (Transposed)'!K$4*$B$6*$B$9+ 'Prediction Results (Transposed)'!K$5*$B$7*$B$10) * (AC28*AC66) * AC9/AC47 * 1/$B$14</f>
        <v>204091528.15969574</v>
      </c>
      <c r="AD85" s="63">
        <f>('Prediction Results (Transposed)'!L$3*$B$5*$B$8 + 'Prediction Results (Transposed)'!L$4*$B$6*$B$9+ 'Prediction Results (Transposed)'!L$5*$B$7*$B$10) * (AD28*AD66) * AD9/AD47 * 1/$B$14</f>
        <v>9132388.9857002907</v>
      </c>
      <c r="AE85" s="63">
        <f>('Prediction Results (Transposed)'!M$3*$B$5*$B$8 + 'Prediction Results (Transposed)'!M$4*$B$6*$B$9+ 'Prediction Results (Transposed)'!M$5*$B$7*$B$10) * (AE28*AE66) * AE9/AE47 * 1/$B$14</f>
        <v>1464106.3809432178</v>
      </c>
      <c r="AF85" s="63">
        <f>('Prediction Results (Transposed)'!N$3*$B$5*$B$8 + 'Prediction Results (Transposed)'!N$4*$B$6*$B$9+ 'Prediction Results (Transposed)'!N$5*$B$7*$B$10) * (AF28*AF66) * AF9/AF47 * 1/$B$14</f>
        <v>4426371.3231915189</v>
      </c>
      <c r="AG85" s="63">
        <f>('Prediction Results (Transposed)'!O$3*$B$5*$B$8 + 'Prediction Results (Transposed)'!O$4*$B$6*$B$9+ 'Prediction Results (Transposed)'!O$5*$B$7*$B$10) * (AG28*AG66) * AG9/AG47 * 1/$B$14</f>
        <v>3824834.5448169811</v>
      </c>
    </row>
    <row r="86" spans="1:33">
      <c r="A86" s="262"/>
      <c r="B86" s="263"/>
      <c r="C86" s="193">
        <v>2026</v>
      </c>
      <c r="D86" s="63">
        <f>('Prediction Results (Transposed)'!J$3*$B$5*$B$8 + 'Prediction Results (Transposed)'!J$4*$B$6*$B$9+ 'Prediction Results (Transposed)'!J$5*$B$7*$B$10) *(D29*D67) *D10/(D48 *$B$14)</f>
        <v>188569250.26256365</v>
      </c>
      <c r="E86" s="63">
        <f>('Prediction Results (Transposed)'!K$3*$B$5*$B$8 + 'Prediction Results (Transposed)'!K$4*$B$6*$B$9+ 'Prediction Results (Transposed)'!K$5*$B$7*$B$10) *(E29*E67) *E10/(E48 *$B$14)</f>
        <v>203702849.17182255</v>
      </c>
      <c r="F86" s="63">
        <f>('Prediction Results (Transposed)'!L$3*$B$5*$B$8 + 'Prediction Results (Transposed)'!L$4*$B$6*$B$9+ 'Prediction Results (Transposed)'!L$5*$B$7*$B$10) *(F29*F67) *F10/(F48 *$B$14)</f>
        <v>9114996.9472367987</v>
      </c>
      <c r="G86" s="63">
        <f>('Prediction Results (Transposed)'!M$3*$B$5*$B$8 + 'Prediction Results (Transposed)'!M$4*$B$6*$B$9+ 'Prediction Results (Transposed)'!M$5*$B$7*$B$10) *(G29*G67) *G10/(G48 *$B$14)</f>
        <v>1461318.0859492267</v>
      </c>
      <c r="H86" s="63">
        <f>('Prediction Results (Transposed)'!N$3*$B$5*$B$8 + 'Prediction Results (Transposed)'!N$4*$B$6*$B$9+ 'Prediction Results (Transposed)'!N$5*$B$7*$B$10) *(H29*H67) *H10/(H48 *$B$14)</f>
        <v>4417941.5880557057</v>
      </c>
      <c r="I86" s="63">
        <f>('Prediction Results (Transposed)'!O$3*$B$5*$B$8 + 'Prediction Results (Transposed)'!O$4*$B$6*$B$9+ 'Prediction Results (Transposed)'!O$5*$B$7*$B$10) *(I29*I67) *I10/(I48 *$B$14)</f>
        <v>3817550.3971942589</v>
      </c>
      <c r="K86" s="193">
        <v>2026</v>
      </c>
      <c r="L86" s="63">
        <f>('Prediction Results (Transposed)'!J$3*$B$5*$B$8 + 'Prediction Results (Transposed)'!J$4*$B$6*$B$9+ 'Prediction Results (Transposed)'!J$5*$B$7*$B$10) * (L29*L67) * L10/L48 * 1/$B$14</f>
        <v>194121937.19291425</v>
      </c>
      <c r="M86" s="63">
        <f>('Prediction Results (Transposed)'!K$3*$B$5*$B$8 + 'Prediction Results (Transposed)'!K$4*$B$6*$B$9+ 'Prediction Results (Transposed)'!K$5*$B$7*$B$10) * (M29*M67) * M10/M48 * 1/$B$14</f>
        <v>209701166.21819475</v>
      </c>
      <c r="N86" s="63">
        <f>('Prediction Results (Transposed)'!L$3*$B$5*$B$8 + 'Prediction Results (Transposed)'!L$4*$B$6*$B$9+ 'Prediction Results (Transposed)'!L$5*$B$7*$B$10) * (N29*N67) * N10/N48 * 1/$B$14</f>
        <v>9383400.8590550497</v>
      </c>
      <c r="O86" s="63">
        <f>('Prediction Results (Transposed)'!M$3*$B$5*$B$8 + 'Prediction Results (Transposed)'!M$4*$B$6*$B$9+ 'Prediction Results (Transposed)'!M$5*$B$7*$B$10) * (O29*O67) * O10/O48 * 1/$B$14</f>
        <v>1504348.6533701438</v>
      </c>
      <c r="P86" s="63">
        <f>('Prediction Results (Transposed)'!N$3*$B$5*$B$8 + 'Prediction Results (Transposed)'!N$4*$B$6*$B$9+ 'Prediction Results (Transposed)'!N$5*$B$7*$B$10) * (P29*P67) * P10/P48 * 1/$B$14</f>
        <v>4548034.0950837154</v>
      </c>
      <c r="Q86" s="63">
        <f>('Prediction Results (Transposed)'!O$3*$B$5*$B$8 + 'Prediction Results (Transposed)'!O$4*$B$6*$B$9+ 'Prediction Results (Transposed)'!O$5*$B$7*$B$10) * (Q29*Q67) * Q10/Q48 * 1/$B$14</f>
        <v>3929963.5407313919</v>
      </c>
      <c r="S86" s="193">
        <v>2026</v>
      </c>
      <c r="T86" s="63">
        <f>('Prediction Results (Transposed)'!J$3*$B$5*$B$8 + 'Prediction Results (Transposed)'!J$4*$B$6*$B$9+ 'Prediction Results (Transposed)'!J$5*$B$7*$B$10) * (T29*T67) * T10/T48 * 1/$B$14</f>
        <v>203660582.20736593</v>
      </c>
      <c r="U86" s="63">
        <f>('Prediction Results (Transposed)'!K$3*$B$5*$B$8 + 'Prediction Results (Transposed)'!K$4*$B$6*$B$9+ 'Prediction Results (Transposed)'!K$5*$B$7*$B$10) * (U29*U67) * U10/U48 * 1/$B$14</f>
        <v>220005333.85940301</v>
      </c>
      <c r="V86" s="63">
        <f>('Prediction Results (Transposed)'!L$3*$B$5*$B$8 + 'Prediction Results (Transposed)'!L$4*$B$6*$B$9+ 'Prediction Results (Transposed)'!L$5*$B$7*$B$10) * (V29*V67) * V10/V48 * 1/$B$14</f>
        <v>9844476.6710787024</v>
      </c>
      <c r="W86" s="63">
        <f>('Prediction Results (Transposed)'!M$3*$B$5*$B$8 + 'Prediction Results (Transposed)'!M$4*$B$6*$B$9+ 'Prediction Results (Transposed)'!M$5*$B$7*$B$10) * (W29*W67) * W10/W48 * 1/$B$14</f>
        <v>1578268.4173595498</v>
      </c>
      <c r="X86" s="63">
        <f>('Prediction Results (Transposed)'!N$3*$B$5*$B$8 + 'Prediction Results (Transposed)'!N$4*$B$6*$B$9+ 'Prediction Results (Transposed)'!N$5*$B$7*$B$10) * (X29*X67) * X10/X48 * 1/$B$14</f>
        <v>4771512.6126276357</v>
      </c>
      <c r="Y86" s="63">
        <f>('Prediction Results (Transposed)'!O$3*$B$5*$B$8 + 'Prediction Results (Transposed)'!O$4*$B$6*$B$9+ 'Prediction Results (Transposed)'!O$5*$B$7*$B$10) * (Y29*Y67) * Y10/Y48 * 1/$B$14</f>
        <v>4123071.6854204731</v>
      </c>
      <c r="AA86" s="193">
        <v>2026</v>
      </c>
      <c r="AB86" s="63">
        <f>('Prediction Results (Transposed)'!J$3*$B$5*$B$8 + 'Prediction Results (Transposed)'!J$4*$B$6*$B$9+ 'Prediction Results (Transposed)'!J$5*$B$7*$B$10) * (AB29*AB67) * AB10/AB48 * 1/$B$14</f>
        <v>203762754.59928504</v>
      </c>
      <c r="AC86" s="63">
        <f>('Prediction Results (Transposed)'!K$3*$B$5*$B$8 + 'Prediction Results (Transposed)'!K$4*$B$6*$B$9+ 'Prediction Results (Transposed)'!K$5*$B$7*$B$10) * (AC29*AC67) * AC10/AC48 * 1/$B$14</f>
        <v>220115706.08240134</v>
      </c>
      <c r="AD86" s="63">
        <f>('Prediction Results (Transposed)'!L$3*$B$5*$B$8 + 'Prediction Results (Transposed)'!L$4*$B$6*$B$9+ 'Prediction Results (Transposed)'!L$5*$B$7*$B$10) * (AD29*AD67) * AD10/AD48 * 1/$B$14</f>
        <v>9849415.4457683023</v>
      </c>
      <c r="AE86" s="63">
        <f>('Prediction Results (Transposed)'!M$3*$B$5*$B$8 + 'Prediction Results (Transposed)'!M$4*$B$6*$B$9+ 'Prediction Results (Transposed)'!M$5*$B$7*$B$10) * (AE29*AE67) * AE10/AE48 * 1/$B$14</f>
        <v>1579060.202679733</v>
      </c>
      <c r="AF86" s="63">
        <f>('Prediction Results (Transposed)'!N$3*$B$5*$B$8 + 'Prediction Results (Transposed)'!N$4*$B$6*$B$9+ 'Prediction Results (Transposed)'!N$5*$B$7*$B$10) * (AF29*AF67) * AF10/AF48 * 1/$B$14</f>
        <v>4773906.3839280056</v>
      </c>
      <c r="AG86" s="63">
        <f>('Prediction Results (Transposed)'!O$3*$B$5*$B$8 + 'Prediction Results (Transposed)'!O$4*$B$6*$B$9+ 'Prediction Results (Transposed)'!O$5*$B$7*$B$10) * (AG29*AG67) * AG10/AG48 * 1/$B$14</f>
        <v>4125140.1470323754</v>
      </c>
    </row>
    <row r="87" spans="1:33">
      <c r="A87" s="262"/>
      <c r="B87" s="263"/>
      <c r="C87" s="193">
        <v>2027</v>
      </c>
      <c r="D87" s="63">
        <f>('Prediction Results (Transposed)'!J$3*$B$5*$B$8 + 'Prediction Results (Transposed)'!J$4*$B$6*$B$9+ 'Prediction Results (Transposed)'!J$5*$B$7*$B$10) *(D30*D68) *D11/(D49 *$B$14)</f>
        <v>200886396.84620857</v>
      </c>
      <c r="E87" s="63">
        <f>('Prediction Results (Transposed)'!K$3*$B$5*$B$8 + 'Prediction Results (Transposed)'!K$4*$B$6*$B$9+ 'Prediction Results (Transposed)'!K$5*$B$7*$B$10) *(E30*E68) *E11/(E49 *$B$14)</f>
        <v>217008506.63857201</v>
      </c>
      <c r="F87" s="63">
        <f>('Prediction Results (Transposed)'!L$3*$B$5*$B$8 + 'Prediction Results (Transposed)'!L$4*$B$6*$B$9+ 'Prediction Results (Transposed)'!L$5*$B$7*$B$10) *(F30*F68) *F11/(F49 *$B$14)</f>
        <v>9710379.0328751802</v>
      </c>
      <c r="G87" s="63">
        <f>('Prediction Results (Transposed)'!M$3*$B$5*$B$8 + 'Prediction Results (Transposed)'!M$4*$B$6*$B$9+ 'Prediction Results (Transposed)'!M$5*$B$7*$B$10) *(G30*G68) *G11/(G49 *$B$14)</f>
        <v>1556769.8578839712</v>
      </c>
      <c r="H87" s="63">
        <f>('Prediction Results (Transposed)'!N$3*$B$5*$B$8 + 'Prediction Results (Transposed)'!N$4*$B$6*$B$9+ 'Prediction Results (Transposed)'!N$5*$B$7*$B$10) *(H30*H68) *H11/(H49 *$B$14)</f>
        <v>4706516.9207904618</v>
      </c>
      <c r="I87" s="63">
        <f>('Prediction Results (Transposed)'!O$3*$B$5*$B$8 + 'Prediction Results (Transposed)'!O$4*$B$6*$B$9+ 'Prediction Results (Transposed)'!O$5*$B$7*$B$10) *(I30*I68) *I11/(I49 *$B$14)</f>
        <v>4066908.8040777822</v>
      </c>
      <c r="K87" s="193">
        <v>2027</v>
      </c>
      <c r="L87" s="63">
        <f>('Prediction Results (Transposed)'!J$3*$B$5*$B$8 + 'Prediction Results (Transposed)'!J$4*$B$6*$B$9+ 'Prediction Results (Transposed)'!J$5*$B$7*$B$10) * (L30*L68) * L11/L49 * 1/$B$14</f>
        <v>207740216.29062548</v>
      </c>
      <c r="M87" s="63">
        <f>('Prediction Results (Transposed)'!K$3*$B$5*$B$8 + 'Prediction Results (Transposed)'!K$4*$B$6*$B$9+ 'Prediction Results (Transposed)'!K$5*$B$7*$B$10) * (M30*M68) * M11/M49 * 1/$B$14</f>
        <v>224412378.40765941</v>
      </c>
      <c r="N87" s="63">
        <f>('Prediction Results (Transposed)'!L$3*$B$5*$B$8 + 'Prediction Results (Transposed)'!L$4*$B$6*$B$9+ 'Prediction Results (Transposed)'!L$5*$B$7*$B$10) * (N30*N68) * N11/N49 * 1/$B$14</f>
        <v>10041676.650200304</v>
      </c>
      <c r="O87" s="63">
        <f>('Prediction Results (Transposed)'!M$3*$B$5*$B$8 + 'Prediction Results (Transposed)'!M$4*$B$6*$B$9+ 'Prediction Results (Transposed)'!M$5*$B$7*$B$10) * (O30*O68) * O11/O49 * 1/$B$14</f>
        <v>1609883.556421835</v>
      </c>
      <c r="P87" s="63">
        <f>('Prediction Results (Transposed)'!N$3*$B$5*$B$8 + 'Prediction Results (Transposed)'!N$4*$B$6*$B$9+ 'Prediction Results (Transposed)'!N$5*$B$7*$B$10) * (P30*P68) * P11/P49 * 1/$B$14</f>
        <v>4867093.3345925668</v>
      </c>
      <c r="Q87" s="63">
        <f>('Prediction Results (Transposed)'!O$3*$B$5*$B$8 + 'Prediction Results (Transposed)'!O$4*$B$6*$B$9+ 'Prediction Results (Transposed)'!O$5*$B$7*$B$10) * (Q30*Q68) * Q11/Q49 * 1/$B$14</f>
        <v>4205663.1402481785</v>
      </c>
      <c r="S87" s="193">
        <v>2027</v>
      </c>
      <c r="T87" s="63">
        <f>('Prediction Results (Transposed)'!J$3*$B$5*$B$8 + 'Prediction Results (Transposed)'!J$4*$B$6*$B$9+ 'Prediction Results (Transposed)'!J$5*$B$7*$B$10) * (T30*T68) * T11/T49 * 1/$B$14</f>
        <v>219551759.93995044</v>
      </c>
      <c r="U87" s="63">
        <f>('Prediction Results (Transposed)'!K$3*$B$5*$B$8 + 'Prediction Results (Transposed)'!K$4*$B$6*$B$9+ 'Prediction Results (Transposed)'!K$5*$B$7*$B$10) * (U30*U68) * U11/U49 * 1/$B$14</f>
        <v>237171855.84703347</v>
      </c>
      <c r="V87" s="63">
        <f>('Prediction Results (Transposed)'!L$3*$B$5*$B$8 + 'Prediction Results (Transposed)'!L$4*$B$6*$B$9+ 'Prediction Results (Transposed)'!L$5*$B$7*$B$10) * (V30*V68) * V11/V49 * 1/$B$14</f>
        <v>10612619.07138426</v>
      </c>
      <c r="W87" s="63">
        <f>('Prediction Results (Transposed)'!M$3*$B$5*$B$8 + 'Prediction Results (Transposed)'!M$4*$B$6*$B$9+ 'Prediction Results (Transposed)'!M$5*$B$7*$B$10) * (W30*W68) * W11/W49 * 1/$B$14</f>
        <v>1701417.1565910256</v>
      </c>
      <c r="X87" s="63">
        <f>('Prediction Results (Transposed)'!N$3*$B$5*$B$8 + 'Prediction Results (Transposed)'!N$4*$B$6*$B$9+ 'Prediction Results (Transposed)'!N$5*$B$7*$B$10) * (X30*X68) * X11/X49 * 1/$B$14</f>
        <v>5143823.0232073814</v>
      </c>
      <c r="Y87" s="63">
        <f>('Prediction Results (Transposed)'!O$3*$B$5*$B$8 + 'Prediction Results (Transposed)'!O$4*$B$6*$B$9+ 'Prediction Results (Transposed)'!O$5*$B$7*$B$10) * (Y30*Y68) * Y11/Y49 * 1/$B$14</f>
        <v>4444785.7070885981</v>
      </c>
      <c r="AA87" s="193">
        <v>2027</v>
      </c>
      <c r="AB87" s="63">
        <f>('Prediction Results (Transposed)'!J$3*$B$5*$B$8 + 'Prediction Results (Transposed)'!J$4*$B$6*$B$9+ 'Prediction Results (Transposed)'!J$5*$B$7*$B$10) * (AB30*AB68) * AB11/AB49 * 1/$B$14</f>
        <v>219639119.33840677</v>
      </c>
      <c r="AC87" s="63">
        <f>('Prediction Results (Transposed)'!K$3*$B$5*$B$8 + 'Prediction Results (Transposed)'!K$4*$B$6*$B$9+ 'Prediction Results (Transposed)'!K$5*$B$7*$B$10) * (AC30*AC68) * AC11/AC49 * 1/$B$14</f>
        <v>237266226.26184219</v>
      </c>
      <c r="AD87" s="63">
        <f>('Prediction Results (Transposed)'!L$3*$B$5*$B$8 + 'Prediction Results (Transposed)'!L$4*$B$6*$B$9+ 'Prediction Results (Transposed)'!L$5*$B$7*$B$10) * (AD30*AD68) * AD11/AD49 * 1/$B$14</f>
        <v>10616841.820581872</v>
      </c>
      <c r="AE87" s="63">
        <f>('Prediction Results (Transposed)'!M$3*$B$5*$B$8 + 'Prediction Results (Transposed)'!M$4*$B$6*$B$9+ 'Prediction Results (Transposed)'!M$5*$B$7*$B$10) * (AE30*AE68) * AE11/AE49 * 1/$B$14</f>
        <v>1702094.1485648698</v>
      </c>
      <c r="AF87" s="63">
        <f>('Prediction Results (Transposed)'!N$3*$B$5*$B$8 + 'Prediction Results (Transposed)'!N$4*$B$6*$B$9+ 'Prediction Results (Transposed)'!N$5*$B$7*$B$10) * (AF30*AF68) * AF11/AF49 * 1/$B$14</f>
        <v>5145869.7446055431</v>
      </c>
      <c r="AG87" s="63">
        <f>('Prediction Results (Transposed)'!O$3*$B$5*$B$8 + 'Prediction Results (Transposed)'!O$4*$B$6*$B$9+ 'Prediction Results (Transposed)'!O$5*$B$7*$B$10) * (AG30*AG68) * AG11/AG49 * 1/$B$14</f>
        <v>4446554.2823245451</v>
      </c>
    </row>
    <row r="88" spans="1:33">
      <c r="A88" s="262"/>
      <c r="B88" s="263"/>
      <c r="C88" s="193">
        <v>2028</v>
      </c>
      <c r="D88" s="63">
        <f>('Prediction Results (Transposed)'!J$3*$B$5*$B$8 + 'Prediction Results (Transposed)'!J$4*$B$6*$B$9+ 'Prediction Results (Transposed)'!J$5*$B$7*$B$10) *(D31*D69) *D12/(D50 *$B$14)</f>
        <v>213956398.40823206</v>
      </c>
      <c r="E88" s="63">
        <f>('Prediction Results (Transposed)'!K$3*$B$5*$B$8 + 'Prediction Results (Transposed)'!K$4*$B$6*$B$9+ 'Prediction Results (Transposed)'!K$5*$B$7*$B$10) *(E31*E69) *E12/(E50 *$B$14)</f>
        <v>231127439.35510573</v>
      </c>
      <c r="F88" s="63">
        <f>('Prediction Results (Transposed)'!L$3*$B$5*$B$8 + 'Prediction Results (Transposed)'!L$4*$B$6*$B$9+ 'Prediction Results (Transposed)'!L$5*$B$7*$B$10) *(F31*F69) *F12/(F50 *$B$14)</f>
        <v>10342152.369049259</v>
      </c>
      <c r="G88" s="63">
        <f>('Prediction Results (Transposed)'!M$3*$B$5*$B$8 + 'Prediction Results (Transposed)'!M$4*$B$6*$B$9+ 'Prediction Results (Transposed)'!M$5*$B$7*$B$10) *(G31*G69) *G12/(G50 *$B$14)</f>
        <v>1658055.8821926825</v>
      </c>
      <c r="H88" s="63">
        <f>('Prediction Results (Transposed)'!N$3*$B$5*$B$8 + 'Prediction Results (Transposed)'!N$4*$B$6*$B$9+ 'Prediction Results (Transposed)'!N$5*$B$7*$B$10) *(H31*H69) *H12/(H50 *$B$14)</f>
        <v>5012730.7036655387</v>
      </c>
      <c r="I88" s="63">
        <f>('Prediction Results (Transposed)'!O$3*$B$5*$B$8 + 'Prediction Results (Transposed)'!O$4*$B$6*$B$9+ 'Prediction Results (Transposed)'!O$5*$B$7*$B$10) *(I31*I69) *I12/(I50 *$B$14)</f>
        <v>4331508.6239580512</v>
      </c>
      <c r="K88" s="193">
        <v>2028</v>
      </c>
      <c r="L88" s="63">
        <f>('Prediction Results (Transposed)'!J$3*$B$5*$B$8 + 'Prediction Results (Transposed)'!J$4*$B$6*$B$9+ 'Prediction Results (Transposed)'!J$5*$B$7*$B$10) * (L31*L69) * L12/L50 * 1/$B$14</f>
        <v>222242009.8699517</v>
      </c>
      <c r="M88" s="63">
        <f>('Prediction Results (Transposed)'!K$3*$B$5*$B$8 + 'Prediction Results (Transposed)'!K$4*$B$6*$B$9+ 'Prediction Results (Transposed)'!K$5*$B$7*$B$10) * (M31*M69) * M12/M50 * 1/$B$14</f>
        <v>240078011.41037419</v>
      </c>
      <c r="N88" s="63">
        <f>('Prediction Results (Transposed)'!L$3*$B$5*$B$8 + 'Prediction Results (Transposed)'!L$4*$B$6*$B$9+ 'Prediction Results (Transposed)'!L$5*$B$7*$B$10) * (N31*N69) * N12/N50 * 1/$B$14</f>
        <v>10742659.466969021</v>
      </c>
      <c r="O88" s="63">
        <f>('Prediction Results (Transposed)'!M$3*$B$5*$B$8 + 'Prediction Results (Transposed)'!M$4*$B$6*$B$9+ 'Prediction Results (Transposed)'!M$5*$B$7*$B$10) * (O31*O69) * O12/O50 * 1/$B$14</f>
        <v>1722265.2581397165</v>
      </c>
      <c r="P88" s="63">
        <f>('Prediction Results (Transposed)'!N$3*$B$5*$B$8 + 'Prediction Results (Transposed)'!N$4*$B$6*$B$9+ 'Prediction Results (Transposed)'!N$5*$B$7*$B$10) * (P31*P69) * P12/P50 * 1/$B$14</f>
        <v>5206852.2129160287</v>
      </c>
      <c r="Q88" s="63">
        <f>('Prediction Results (Transposed)'!O$3*$B$5*$B$8 + 'Prediction Results (Transposed)'!O$4*$B$6*$B$9+ 'Prediction Results (Transposed)'!O$5*$B$7*$B$10) * (Q31*Q69) * Q12/Q50 * 1/$B$14</f>
        <v>4499249.3307946278</v>
      </c>
      <c r="S88" s="193">
        <v>2028</v>
      </c>
      <c r="T88" s="63">
        <f>('Prediction Results (Transposed)'!J$3*$B$5*$B$8 + 'Prediction Results (Transposed)'!J$4*$B$6*$B$9+ 'Prediction Results (Transposed)'!J$5*$B$7*$B$10) * (T31*T69) * T12/T50 * 1/$B$14</f>
        <v>236565850.39476848</v>
      </c>
      <c r="U88" s="63">
        <f>('Prediction Results (Transposed)'!K$3*$B$5*$B$8 + 'Prediction Results (Transposed)'!K$4*$B$6*$B$9+ 'Prediction Results (Transposed)'!K$5*$B$7*$B$10) * (U31*U69) * U12/U50 * 1/$B$14</f>
        <v>255551409.76098141</v>
      </c>
      <c r="V88" s="63">
        <f>('Prediction Results (Transposed)'!L$3*$B$5*$B$8 + 'Prediction Results (Transposed)'!L$4*$B$6*$B$9+ 'Prediction Results (Transposed)'!L$5*$B$7*$B$10) * (V31*V69) * V12/V50 * 1/$B$14</f>
        <v>11435040.448887423</v>
      </c>
      <c r="W88" s="63">
        <f>('Prediction Results (Transposed)'!M$3*$B$5*$B$8 + 'Prediction Results (Transposed)'!M$4*$B$6*$B$9+ 'Prediction Results (Transposed)'!M$5*$B$7*$B$10) * (W31*W69) * W12/W50 * 1/$B$14</f>
        <v>1833267.9120189785</v>
      </c>
      <c r="X88" s="63">
        <f>('Prediction Results (Transposed)'!N$3*$B$5*$B$8 + 'Prediction Results (Transposed)'!N$4*$B$6*$B$9+ 'Prediction Results (Transposed)'!N$5*$B$7*$B$10) * (X31*X69) * X12/X50 * 1/$B$14</f>
        <v>5542441.8738345103</v>
      </c>
      <c r="Y88" s="63">
        <f>('Prediction Results (Transposed)'!O$3*$B$5*$B$8 + 'Prediction Results (Transposed)'!O$4*$B$6*$B$9+ 'Prediction Results (Transposed)'!O$5*$B$7*$B$10) * (Y31*Y69) * Y12/Y50 * 1/$B$14</f>
        <v>4789232.8939085593</v>
      </c>
      <c r="AA88" s="193">
        <v>2028</v>
      </c>
      <c r="AB88" s="63">
        <f>('Prediction Results (Transposed)'!J$3*$B$5*$B$8 + 'Prediction Results (Transposed)'!J$4*$B$6*$B$9+ 'Prediction Results (Transposed)'!J$5*$B$7*$B$10) * (AB31*AB69) * AB12/AB50 * 1/$B$14</f>
        <v>236625010.65818566</v>
      </c>
      <c r="AC88" s="63">
        <f>('Prediction Results (Transposed)'!K$3*$B$5*$B$8 + 'Prediction Results (Transposed)'!K$4*$B$6*$B$9+ 'Prediction Results (Transposed)'!K$5*$B$7*$B$10) * (AC31*AC69) * AC12/AC50 * 1/$B$14</f>
        <v>255615317.92309701</v>
      </c>
      <c r="AD88" s="63">
        <f>('Prediction Results (Transposed)'!L$3*$B$5*$B$8 + 'Prediction Results (Transposed)'!L$4*$B$6*$B$9+ 'Prediction Results (Transposed)'!L$5*$B$7*$B$10) * (AD31*AD69) * AD12/AD50 * 1/$B$14</f>
        <v>11437900.117787275</v>
      </c>
      <c r="AE88" s="63">
        <f>('Prediction Results (Transposed)'!M$3*$B$5*$B$8 + 'Prediction Results (Transposed)'!M$4*$B$6*$B$9+ 'Prediction Results (Transposed)'!M$5*$B$7*$B$10) * (AE31*AE69) * AE12/AE50 * 1/$B$14</f>
        <v>1833726.3746939925</v>
      </c>
      <c r="AF88" s="63">
        <f>('Prediction Results (Transposed)'!N$3*$B$5*$B$8 + 'Prediction Results (Transposed)'!N$4*$B$6*$B$9+ 'Prediction Results (Transposed)'!N$5*$B$7*$B$10) * (AF31*AF69) * AF12/AF50 * 1/$B$14</f>
        <v>5543827.9247826198</v>
      </c>
      <c r="AG88" s="63">
        <f>('Prediction Results (Transposed)'!O$3*$B$5*$B$8 + 'Prediction Results (Transposed)'!O$4*$B$6*$B$9+ 'Prediction Results (Transposed)'!O$5*$B$7*$B$10) * (AG31*AG69) * AG12/AG50 * 1/$B$14</f>
        <v>4790430.5827512108</v>
      </c>
    </row>
    <row r="89" spans="1:33">
      <c r="A89" s="262"/>
      <c r="B89" s="263"/>
      <c r="C89" s="193">
        <v>2029</v>
      </c>
      <c r="D89" s="63">
        <f>('Prediction Results (Transposed)'!J$3*$B$5*$B$8 + 'Prediction Results (Transposed)'!J$4*$B$6*$B$9+ 'Prediction Results (Transposed)'!J$5*$B$7*$B$10) *(D32*D70) *D13/(D51 *$B$14)</f>
        <v>227822748.8514106</v>
      </c>
      <c r="E89" s="63">
        <f>('Prediction Results (Transposed)'!K$3*$B$5*$B$8 + 'Prediction Results (Transposed)'!K$4*$B$6*$B$9+ 'Prediction Results (Transposed)'!K$5*$B$7*$B$10) *(E32*E70) *E13/(E51 *$B$14)</f>
        <v>246106631.8213082</v>
      </c>
      <c r="F89" s="63">
        <f>('Prediction Results (Transposed)'!L$3*$B$5*$B$8 + 'Prediction Results (Transposed)'!L$4*$B$6*$B$9+ 'Prediction Results (Transposed)'!L$5*$B$7*$B$10) *(F32*F70) *F13/(F51 *$B$14)</f>
        <v>11012419.349391494</v>
      </c>
      <c r="G89" s="63">
        <f>('Prediction Results (Transposed)'!M$3*$B$5*$B$8 + 'Prediction Results (Transposed)'!M$4*$B$6*$B$9+ 'Prediction Results (Transposed)'!M$5*$B$7*$B$10) *(G32*G70) *G13/(G51 *$B$14)</f>
        <v>1765513.2150320108</v>
      </c>
      <c r="H89" s="63">
        <f>('Prediction Results (Transposed)'!N$3*$B$5*$B$8 + 'Prediction Results (Transposed)'!N$4*$B$6*$B$9+ 'Prediction Results (Transposed)'!N$5*$B$7*$B$10) *(H32*H70) *H13/(H51 *$B$14)</f>
        <v>5337601.9444016265</v>
      </c>
      <c r="I89" s="63">
        <f>('Prediction Results (Transposed)'!O$3*$B$5*$B$8 + 'Prediction Results (Transposed)'!O$4*$B$6*$B$9+ 'Prediction Results (Transposed)'!O$5*$B$7*$B$10) *(I32*I70) *I13/(I51 *$B$14)</f>
        <v>4612230.3830374554</v>
      </c>
      <c r="K89" s="193">
        <v>2029</v>
      </c>
      <c r="L89" s="63">
        <f>('Prediction Results (Transposed)'!J$3*$B$5*$B$8 + 'Prediction Results (Transposed)'!J$4*$B$6*$B$9+ 'Prediction Results (Transposed)'!J$5*$B$7*$B$10) * (L32*L70) * L13/L51 * 1/$B$14</f>
        <v>237680910.45637003</v>
      </c>
      <c r="M89" s="63">
        <f>('Prediction Results (Transposed)'!K$3*$B$5*$B$8 + 'Prediction Results (Transposed)'!K$4*$B$6*$B$9+ 'Prediction Results (Transposed)'!K$5*$B$7*$B$10) * (M32*M70) * M13/M51 * 1/$B$14</f>
        <v>256755958.81248194</v>
      </c>
      <c r="N89" s="63">
        <f>('Prediction Results (Transposed)'!L$3*$B$5*$B$8 + 'Prediction Results (Transposed)'!L$4*$B$6*$B$9+ 'Prediction Results (Transposed)'!L$5*$B$7*$B$10) * (N32*N70) * N13/N51 * 1/$B$14</f>
        <v>11488939.846818596</v>
      </c>
      <c r="O89" s="63">
        <f>('Prediction Results (Transposed)'!M$3*$B$5*$B$8 + 'Prediction Results (Transposed)'!M$4*$B$6*$B$9+ 'Prediction Results (Transposed)'!M$5*$B$7*$B$10) * (O32*O70) * O13/O51 * 1/$B$14</f>
        <v>1841909.0739935264</v>
      </c>
      <c r="P89" s="63">
        <f>('Prediction Results (Transposed)'!N$3*$B$5*$B$8 + 'Prediction Results (Transposed)'!N$4*$B$6*$B$9+ 'Prediction Results (Transposed)'!N$5*$B$7*$B$10) * (P32*P70) * P13/P51 * 1/$B$14</f>
        <v>5568566.3358688541</v>
      </c>
      <c r="Q89" s="63">
        <f>('Prediction Results (Transposed)'!O$3*$B$5*$B$8 + 'Prediction Results (Transposed)'!O$4*$B$6*$B$9+ 'Prediction Results (Transposed)'!O$5*$B$7*$B$10) * (Q32*Q70) * Q13/Q51 * 1/$B$14</f>
        <v>4811807.0833648751</v>
      </c>
      <c r="S89" s="193">
        <v>2029</v>
      </c>
      <c r="T89" s="63">
        <f>('Prediction Results (Transposed)'!J$3*$B$5*$B$8 + 'Prediction Results (Transposed)'!J$4*$B$6*$B$9+ 'Prediction Results (Transposed)'!J$5*$B$7*$B$10) * (T32*T70) * T13/T51 * 1/$B$14</f>
        <v>254775674.75096801</v>
      </c>
      <c r="U89" s="63">
        <f>('Prediction Results (Transposed)'!K$3*$B$5*$B$8 + 'Prediction Results (Transposed)'!K$4*$B$6*$B$9+ 'Prediction Results (Transposed)'!K$5*$B$7*$B$10) * (U32*U70) * U13/U51 * 1/$B$14</f>
        <v>275222661.03398246</v>
      </c>
      <c r="V89" s="63">
        <f>('Prediction Results (Transposed)'!L$3*$B$5*$B$8 + 'Prediction Results (Transposed)'!L$4*$B$6*$B$9+ 'Prediction Results (Transposed)'!L$5*$B$7*$B$10) * (V32*V70) * V13/V51 * 1/$B$14</f>
        <v>12315260.80923442</v>
      </c>
      <c r="W89" s="63">
        <f>('Prediction Results (Transposed)'!M$3*$B$5*$B$8 + 'Prediction Results (Transposed)'!M$4*$B$6*$B$9+ 'Prediction Results (Transposed)'!M$5*$B$7*$B$10) * (W32*W70) * W13/W51 * 1/$B$14</f>
        <v>1974385.0116342171</v>
      </c>
      <c r="X89" s="63">
        <f>('Prediction Results (Transposed)'!N$3*$B$5*$B$8 + 'Prediction Results (Transposed)'!N$4*$B$6*$B$9+ 'Prediction Results (Transposed)'!N$5*$B$7*$B$10) * (X32*X70) * X13/X51 * 1/$B$14</f>
        <v>5969075.2736196015</v>
      </c>
      <c r="Y89" s="63">
        <f>('Prediction Results (Transposed)'!O$3*$B$5*$B$8 + 'Prediction Results (Transposed)'!O$4*$B$6*$B$9+ 'Prediction Results (Transposed)'!O$5*$B$7*$B$10) * (Y32*Y70) * Y13/Y51 * 1/$B$14</f>
        <v>5157887.4974934589</v>
      </c>
      <c r="AA89" s="193">
        <v>2029</v>
      </c>
      <c r="AB89" s="63">
        <f>('Prediction Results (Transposed)'!J$3*$B$5*$B$8 + 'Prediction Results (Transposed)'!J$4*$B$6*$B$9+ 'Prediction Results (Transposed)'!J$5*$B$7*$B$10) * (AB32*AB70) * AB13/AB51 * 1/$B$14</f>
        <v>254791279.39846864</v>
      </c>
      <c r="AC89" s="63">
        <f>('Prediction Results (Transposed)'!K$3*$B$5*$B$8 + 'Prediction Results (Transposed)'!K$4*$B$6*$B$9+ 'Prediction Results (Transposed)'!K$5*$B$7*$B$10) * (AC32*AC70) * AC13/AC51 * 1/$B$14</f>
        <v>275239518.030294</v>
      </c>
      <c r="AD89" s="63">
        <f>('Prediction Results (Transposed)'!L$3*$B$5*$B$8 + 'Prediction Results (Transposed)'!L$4*$B$6*$B$9+ 'Prediction Results (Transposed)'!L$5*$B$7*$B$10) * (AD32*AD70) * AD13/AD51 * 1/$B$14</f>
        <v>12316015.101432819</v>
      </c>
      <c r="AE89" s="63">
        <f>('Prediction Results (Transposed)'!M$3*$B$5*$B$8 + 'Prediction Results (Transposed)'!M$4*$B$6*$B$9+ 'Prediction Results (Transposed)'!M$5*$B$7*$B$10) * (AE32*AE70) * AE13/AE51 * 1/$B$14</f>
        <v>1974505.9399063799</v>
      </c>
      <c r="AF89" s="63">
        <f>('Prediction Results (Transposed)'!N$3*$B$5*$B$8 + 'Prediction Results (Transposed)'!N$4*$B$6*$B$9+ 'Prediction Results (Transposed)'!N$5*$B$7*$B$10) * (AF32*AF70) * AF13/AF51 * 1/$B$14</f>
        <v>5969440.8709853655</v>
      </c>
      <c r="AG89" s="63">
        <f>('Prediction Results (Transposed)'!O$3*$B$5*$B$8 + 'Prediction Results (Transposed)'!O$4*$B$6*$B$9+ 'Prediction Results (Transposed)'!O$5*$B$7*$B$10) * (AG32*AG70) * AG13/AG51 * 1/$B$14</f>
        <v>5158203.4107623594</v>
      </c>
    </row>
    <row r="90" spans="1:33">
      <c r="A90" s="262"/>
      <c r="B90" s="263"/>
      <c r="C90" s="193">
        <v>2030</v>
      </c>
      <c r="D90" s="63">
        <f>('Prediction Results (Transposed)'!J$3*$B$5*$B$8 + 'Prediction Results (Transposed)'!J$4*$B$6*$B$9+ 'Prediction Results (Transposed)'!J$5*$B$7*$B$10) *(D33*D71) *D14/(D52 *$B$14)</f>
        <v>242531339.32217366</v>
      </c>
      <c r="E90" s="63">
        <f>('Prediction Results (Transposed)'!K$3*$B$5*$B$8 + 'Prediction Results (Transposed)'!K$4*$B$6*$B$9+ 'Prediction Results (Transposed)'!K$5*$B$7*$B$10) *(E33*E71) *E14/(E52 *$B$14)</f>
        <v>261995658.17117193</v>
      </c>
      <c r="F90" s="63">
        <f>('Prediction Results (Transposed)'!L$3*$B$5*$B$8 + 'Prediction Results (Transposed)'!L$4*$B$6*$B$9+ 'Prediction Results (Transposed)'!L$5*$B$7*$B$10) *(F33*F71) *F14/(F52 *$B$14)</f>
        <v>11723398.244691148</v>
      </c>
      <c r="G90" s="63">
        <f>('Prediction Results (Transposed)'!M$3*$B$5*$B$8 + 'Prediction Results (Transposed)'!M$4*$B$6*$B$9+ 'Prediction Results (Transposed)'!M$5*$B$7*$B$10) *(G33*G71) *G14/(G52 *$B$14)</f>
        <v>1879497.4900069516</v>
      </c>
      <c r="H90" s="63">
        <f>('Prediction Results (Transposed)'!N$3*$B$5*$B$8 + 'Prediction Results (Transposed)'!N$4*$B$6*$B$9+ 'Prediction Results (Transposed)'!N$5*$B$7*$B$10) *(H33*H71) *H14/(H52 *$B$14)</f>
        <v>5682205.8151386809</v>
      </c>
      <c r="I90" s="63">
        <f>('Prediction Results (Transposed)'!O$3*$B$5*$B$8 + 'Prediction Results (Transposed)'!O$4*$B$6*$B$9+ 'Prediction Results (Transposed)'!O$5*$B$7*$B$10) *(I33*I71) *I14/(I52 *$B$14)</f>
        <v>4910003.1392829427</v>
      </c>
      <c r="K90" s="193">
        <v>2030</v>
      </c>
      <c r="L90" s="63">
        <f>('Prediction Results (Transposed)'!J$3*$B$5*$B$8 + 'Prediction Results (Transposed)'!J$4*$B$6*$B$9+ 'Prediction Results (Transposed)'!J$5*$B$7*$B$10) * (L33*L71) * L14/L52 * 1/$B$14</f>
        <v>254113583.74280146</v>
      </c>
      <c r="M90" s="63">
        <f>('Prediction Results (Transposed)'!K$3*$B$5*$B$8 + 'Prediction Results (Transposed)'!K$4*$B$6*$B$9+ 'Prediction Results (Transposed)'!K$5*$B$7*$B$10) * (M33*M71) * M14/M52 * 1/$B$14</f>
        <v>274507434.00419462</v>
      </c>
      <c r="N90" s="63">
        <f>('Prediction Results (Transposed)'!L$3*$B$5*$B$8 + 'Prediction Results (Transposed)'!L$4*$B$6*$B$9+ 'Prediction Results (Transposed)'!L$5*$B$7*$B$10) * (N33*N71) * N14/N52 * 1/$B$14</f>
        <v>12283256.87693991</v>
      </c>
      <c r="O90" s="63">
        <f>('Prediction Results (Transposed)'!M$3*$B$5*$B$8 + 'Prediction Results (Transposed)'!M$4*$B$6*$B$9+ 'Prediction Results (Transposed)'!M$5*$B$7*$B$10) * (O33*O71) * O14/O52 * 1/$B$14</f>
        <v>1969254.1349752122</v>
      </c>
      <c r="P90" s="63">
        <f>('Prediction Results (Transposed)'!N$3*$B$5*$B$8 + 'Prediction Results (Transposed)'!N$4*$B$6*$B$9+ 'Prediction Results (Transposed)'!N$5*$B$7*$B$10) * (P33*P71) * P14/P52 * 1/$B$14</f>
        <v>5953563.3097337391</v>
      </c>
      <c r="Q90" s="63">
        <f>('Prediction Results (Transposed)'!O$3*$B$5*$B$8 + 'Prediction Results (Transposed)'!O$4*$B$6*$B$9+ 'Prediction Results (Transposed)'!O$5*$B$7*$B$10) * (Q33*Q71) * Q14/Q52 * 1/$B$14</f>
        <v>5144483.5846726485</v>
      </c>
      <c r="S90" s="193">
        <v>2030</v>
      </c>
      <c r="T90" s="63">
        <f>('Prediction Results (Transposed)'!J$3*$B$5*$B$8 + 'Prediction Results (Transposed)'!J$4*$B$6*$B$9+ 'Prediction Results (Transposed)'!J$5*$B$7*$B$10) * (T33*T71) * T14/T52 * 1/$B$14</f>
        <v>274258452.52282512</v>
      </c>
      <c r="U90" s="63">
        <f>('Prediction Results (Transposed)'!K$3*$B$5*$B$8 + 'Prediction Results (Transposed)'!K$4*$B$6*$B$9+ 'Prediction Results (Transposed)'!K$5*$B$7*$B$10) * (U33*U71) * U14/U52 * 1/$B$14</f>
        <v>296269026.42167276</v>
      </c>
      <c r="V90" s="63">
        <f>('Prediction Results (Transposed)'!L$3*$B$5*$B$8 + 'Prediction Results (Transposed)'!L$4*$B$6*$B$9+ 'Prediction Results (Transposed)'!L$5*$B$7*$B$10) * (V33*V71) * V14/V52 * 1/$B$14</f>
        <v>13257012.763314428</v>
      </c>
      <c r="W90" s="63">
        <f>('Prediction Results (Transposed)'!M$3*$B$5*$B$8 + 'Prediction Results (Transposed)'!M$4*$B$6*$B$9+ 'Prediction Results (Transposed)'!M$5*$B$7*$B$10) * (W33*W71) * W14/W52 * 1/$B$14</f>
        <v>2125366.8683415116</v>
      </c>
      <c r="X90" s="63">
        <f>('Prediction Results (Transposed)'!N$3*$B$5*$B$8 + 'Prediction Results (Transposed)'!N$4*$B$6*$B$9+ 'Prediction Results (Transposed)'!N$5*$B$7*$B$10) * (X33*X71) * X14/X52 * 1/$B$14</f>
        <v>6425532.3791619185</v>
      </c>
      <c r="Y90" s="63">
        <f>('Prediction Results (Transposed)'!O$3*$B$5*$B$8 + 'Prediction Results (Transposed)'!O$4*$B$6*$B$9+ 'Prediction Results (Transposed)'!O$5*$B$7*$B$10) * (Y33*Y71) * Y14/Y52 * 1/$B$14</f>
        <v>5552312.8129562875</v>
      </c>
      <c r="AA90" s="193">
        <v>2030</v>
      </c>
      <c r="AB90" s="63">
        <f>('Prediction Results (Transposed)'!J$3*$B$5*$B$8 + 'Prediction Results (Transposed)'!J$4*$B$6*$B$9+ 'Prediction Results (Transposed)'!J$5*$B$7*$B$10) * (AB33*AB71) * AB14/AB52 * 1/$B$14</f>
        <v>274212988.71896136</v>
      </c>
      <c r="AC90" s="63">
        <f>('Prediction Results (Transposed)'!K$3*$B$5*$B$8 + 'Prediction Results (Transposed)'!K$4*$B$6*$B$9+ 'Prediction Results (Transposed)'!K$5*$B$7*$B$10) * (AC33*AC71) * AC14/AC52 * 1/$B$14</f>
        <v>296219913.92656338</v>
      </c>
      <c r="AD90" s="63">
        <f>('Prediction Results (Transposed)'!L$3*$B$5*$B$8 + 'Prediction Results (Transposed)'!L$4*$B$6*$B$9+ 'Prediction Results (Transposed)'!L$5*$B$7*$B$10) * (AD33*AD71) * AD14/AD52 * 1/$B$14</f>
        <v>13254815.149266263</v>
      </c>
      <c r="AE90" s="63">
        <f>('Prediction Results (Transposed)'!M$3*$B$5*$B$8 + 'Prediction Results (Transposed)'!M$4*$B$6*$B$9+ 'Prediction Results (Transposed)'!M$5*$B$7*$B$10) * (AE33*AE71) * AE14/AE52 * 1/$B$14</f>
        <v>2125014.5464292713</v>
      </c>
      <c r="AF90" s="63">
        <f>('Prediction Results (Transposed)'!N$3*$B$5*$B$8 + 'Prediction Results (Transposed)'!N$4*$B$6*$B$9+ 'Prediction Results (Transposed)'!N$5*$B$7*$B$10) * (AF33*AF71) * AF14/AF52 * 1/$B$14</f>
        <v>6424467.2191235721</v>
      </c>
      <c r="AG90" s="63">
        <f>('Prediction Results (Transposed)'!O$3*$B$5*$B$8 + 'Prediction Results (Transposed)'!O$4*$B$6*$B$9+ 'Prediction Results (Transposed)'!O$5*$B$7*$B$10) * (AG33*AG71) * AG14/AG52 * 1/$B$14</f>
        <v>5551392.4064623537</v>
      </c>
    </row>
    <row r="91" spans="1:33">
      <c r="A91" s="262"/>
      <c r="B91" s="263"/>
      <c r="C91" s="193">
        <v>2040</v>
      </c>
      <c r="D91" s="63">
        <f>('Prediction Results (Transposed)'!J$3*$B$5*$B$8 + 'Prediction Results (Transposed)'!J$4*$B$6*$B$9+ 'Prediction Results (Transposed)'!J$5*$B$7*$B$10) *(D34*D72) *D15/(D53 *$B$14)</f>
        <v>420544219.5163886</v>
      </c>
      <c r="E91" s="63">
        <f>('Prediction Results (Transposed)'!K$3*$B$5*$B$8 + 'Prediction Results (Transposed)'!K$4*$B$6*$B$9+ 'Prediction Results (Transposed)'!K$5*$B$7*$B$10) *(E34*E72) *E15/(E53 *$B$14)</f>
        <v>454294937.26547325</v>
      </c>
      <c r="F91" s="63">
        <f>('Prediction Results (Transposed)'!L$3*$B$5*$B$8 + 'Prediction Results (Transposed)'!L$4*$B$6*$B$9+ 'Prediction Results (Transposed)'!L$5*$B$7*$B$10) *(F34*F72) *F15/(F53 *$B$14)</f>
        <v>20328124.928812824</v>
      </c>
      <c r="G91" s="63">
        <f>('Prediction Results (Transposed)'!M$3*$B$5*$B$8 + 'Prediction Results (Transposed)'!M$4*$B$6*$B$9+ 'Prediction Results (Transposed)'!M$5*$B$7*$B$10) *(G34*G72) *G15/(G53 *$B$14)</f>
        <v>3259008.9479859686</v>
      </c>
      <c r="H91" s="63">
        <f>('Prediction Results (Transposed)'!N$3*$B$5*$B$8 + 'Prediction Results (Transposed)'!N$4*$B$6*$B$9+ 'Prediction Results (Transposed)'!N$5*$B$7*$B$10) *(H34*H72) *H15/(H53 *$B$14)</f>
        <v>9852824.8610570785</v>
      </c>
      <c r="I91" s="63">
        <f>('Prediction Results (Transposed)'!O$3*$B$5*$B$8 + 'Prediction Results (Transposed)'!O$4*$B$6*$B$9+ 'Prediction Results (Transposed)'!O$5*$B$7*$B$10) *(I34*I72) *I15/(I53 *$B$14)</f>
        <v>8513841.7319743931</v>
      </c>
      <c r="K91" s="193">
        <v>2040</v>
      </c>
      <c r="L91" s="63">
        <f>('Prediction Results (Transposed)'!J$3*$B$5*$B$8 + 'Prediction Results (Transposed)'!J$4*$B$6*$B$9+ 'Prediction Results (Transposed)'!J$5*$B$7*$B$10) * (L34*L72) * L15/L53 * 1/$B$14</f>
        <v>482649938.06616443</v>
      </c>
      <c r="M91" s="63">
        <f>('Prediction Results (Transposed)'!K$3*$B$5*$B$8 + 'Prediction Results (Transposed)'!K$4*$B$6*$B$9+ 'Prediction Results (Transposed)'!K$5*$B$7*$B$10) * (M34*M72) * M15/M53 * 1/$B$14</f>
        <v>521384941.60519069</v>
      </c>
      <c r="N91" s="63">
        <f>('Prediction Results (Transposed)'!L$3*$B$5*$B$8 + 'Prediction Results (Transposed)'!L$4*$B$6*$B$9+ 'Prediction Results (Transposed)'!L$5*$B$7*$B$10) * (N34*N72) * N15/N53 * 1/$B$14</f>
        <v>23330170.247436762</v>
      </c>
      <c r="O91" s="63">
        <f>('Prediction Results (Transposed)'!M$3*$B$5*$B$8 + 'Prediction Results (Transposed)'!M$4*$B$6*$B$9+ 'Prediction Results (Transposed)'!M$5*$B$7*$B$10) * (O34*O72) * O15/O53 * 1/$B$14</f>
        <v>3740297.4381893855</v>
      </c>
      <c r="P91" s="63">
        <f>('Prediction Results (Transposed)'!N$3*$B$5*$B$8 + 'Prediction Results (Transposed)'!N$4*$B$6*$B$9+ 'Prediction Results (Transposed)'!N$5*$B$7*$B$10) * (P34*P72) * P15/P53 * 1/$B$14</f>
        <v>11307884.137450714</v>
      </c>
      <c r="Q91" s="63">
        <f>('Prediction Results (Transposed)'!O$3*$B$5*$B$8 + 'Prediction Results (Transposed)'!O$4*$B$6*$B$9+ 'Prediction Results (Transposed)'!O$5*$B$7*$B$10) * (Q34*Q72) * Q15/Q53 * 1/$B$14</f>
        <v>9771160.7815416194</v>
      </c>
      <c r="S91" s="193">
        <v>2040</v>
      </c>
      <c r="T91" s="63">
        <f>('Prediction Results (Transposed)'!J$3*$B$5*$B$8 + 'Prediction Results (Transposed)'!J$4*$B$6*$B$9+ 'Prediction Results (Transposed)'!J$5*$B$7*$B$10) * (T34*T72) * T15/T53 * 1/$B$14</f>
        <v>568711166.82902229</v>
      </c>
      <c r="U91" s="63">
        <f>('Prediction Results (Transposed)'!K$3*$B$5*$B$8 + 'Prediction Results (Transposed)'!K$4*$B$6*$B$9+ 'Prediction Results (Transposed)'!K$5*$B$7*$B$10) * (U34*U72) * U15/U53 * 1/$B$14</f>
        <v>614353002.29277444</v>
      </c>
      <c r="V91" s="63">
        <f>('Prediction Results (Transposed)'!L$3*$B$5*$B$8 + 'Prediction Results (Transposed)'!L$4*$B$6*$B$9+ 'Prediction Results (Transposed)'!L$5*$B$7*$B$10) * (V34*V72) * V15/V53 * 1/$B$14</f>
        <v>27490168.955373663</v>
      </c>
      <c r="W91" s="63">
        <f>('Prediction Results (Transposed)'!M$3*$B$5*$B$8 + 'Prediction Results (Transposed)'!M$4*$B$6*$B$9+ 'Prediction Results (Transposed)'!M$5*$B$7*$B$10) * (W34*W72) * W15/W53 * 1/$B$14</f>
        <v>4407229.241307158</v>
      </c>
      <c r="X91" s="63">
        <f>('Prediction Results (Transposed)'!N$3*$B$5*$B$8 + 'Prediction Results (Transposed)'!N$4*$B$6*$B$9+ 'Prediction Results (Transposed)'!N$5*$B$7*$B$10) * (X34*X72) * X15/X53 * 1/$B$14</f>
        <v>13324191.044017911</v>
      </c>
      <c r="Y91" s="63">
        <f>('Prediction Results (Transposed)'!O$3*$B$5*$B$8 + 'Prediction Results (Transposed)'!O$4*$B$6*$B$9+ 'Prediction Results (Transposed)'!O$5*$B$7*$B$10) * (Y34*Y72) * Y15/Y53 * 1/$B$14</f>
        <v>11513454.806623705</v>
      </c>
      <c r="AA91" s="193">
        <v>2040</v>
      </c>
      <c r="AB91" s="63">
        <f>('Prediction Results (Transposed)'!J$3*$B$5*$B$8 + 'Prediction Results (Transposed)'!J$4*$B$6*$B$9+ 'Prediction Results (Transposed)'!J$5*$B$7*$B$10) * (AB34*AB72) * AB15/AB53 * 1/$B$14</f>
        <v>613589184.1976403</v>
      </c>
      <c r="AC91" s="63">
        <f>('Prediction Results (Transposed)'!K$3*$B$5*$B$8 + 'Prediction Results (Transposed)'!K$4*$B$6*$B$9+ 'Prediction Results (Transposed)'!K$5*$B$7*$B$10) * (AC34*AC72) * AC15/AC53 * 1/$B$14</f>
        <v>662832698.69312012</v>
      </c>
      <c r="AD91" s="63">
        <f>('Prediction Results (Transposed)'!L$3*$B$5*$B$8 + 'Prediction Results (Transposed)'!L$4*$B$6*$B$9+ 'Prediction Results (Transposed)'!L$5*$B$7*$B$10) * (AD34*AD72) * AD15/AD53 * 1/$B$14</f>
        <v>29659467.453105457</v>
      </c>
      <c r="AE91" s="63">
        <f>('Prediction Results (Transposed)'!M$3*$B$5*$B$8 + 'Prediction Results (Transposed)'!M$4*$B$6*$B$9+ 'Prediction Results (Transposed)'!M$5*$B$7*$B$10) * (AE34*AE72) * AE15/AE53 * 1/$B$14</f>
        <v>4755011.5989873717</v>
      </c>
      <c r="AF91" s="63">
        <f>('Prediction Results (Transposed)'!N$3*$B$5*$B$8 + 'Prediction Results (Transposed)'!N$4*$B$6*$B$9+ 'Prediction Results (Transposed)'!N$5*$B$7*$B$10) * (AF34*AF72) * AF15/AF53 * 1/$B$14</f>
        <v>14375626.83774481</v>
      </c>
      <c r="AG91" s="63">
        <f>('Prediction Results (Transposed)'!O$3*$B$5*$B$8 + 'Prediction Results (Transposed)'!O$4*$B$6*$B$9+ 'Prediction Results (Transposed)'!O$5*$B$7*$B$10) * (AG34*AG72) * AG15/AG53 * 1/$B$14</f>
        <v>12422002.158815583</v>
      </c>
    </row>
    <row r="92" spans="1:33">
      <c r="A92" s="262"/>
      <c r="B92" s="263"/>
      <c r="C92" s="193">
        <v>2050</v>
      </c>
      <c r="D92" s="63">
        <f>('Prediction Results (Transposed)'!J$3*$B$5*$B$8 + 'Prediction Results (Transposed)'!J$4*$B$6*$B$9+ 'Prediction Results (Transposed)'!J$5*$B$7*$B$10) *(D35*D73) *D16/(D54 *$B$14)</f>
        <v>665294559.6478169</v>
      </c>
      <c r="E92" s="63">
        <f>('Prediction Results (Transposed)'!K$3*$B$5*$B$8 + 'Prediction Results (Transposed)'!K$4*$B$6*$B$9+ 'Prediction Results (Transposed)'!K$5*$B$7*$B$10) *(E35*E73) *E16/(E54 *$B$14)</f>
        <v>718687681.84670627</v>
      </c>
      <c r="F92" s="63">
        <f>('Prediction Results (Transposed)'!L$3*$B$5*$B$8 + 'Prediction Results (Transposed)'!L$4*$B$6*$B$9+ 'Prediction Results (Transposed)'!L$5*$B$7*$B$10) *(F35*F73) *F16/(F54 *$B$14)</f>
        <v>32158784.487711415</v>
      </c>
      <c r="G92" s="63">
        <f>('Prediction Results (Transposed)'!M$3*$B$5*$B$8 + 'Prediction Results (Transposed)'!M$4*$B$6*$B$9+ 'Prediction Results (Transposed)'!M$5*$B$7*$B$10) *(G35*G73) *G16/(G54 *$B$14)</f>
        <v>5155702.5927784164</v>
      </c>
      <c r="H92" s="63">
        <f>('Prediction Results (Transposed)'!N$3*$B$5*$B$8 + 'Prediction Results (Transposed)'!N$4*$B$6*$B$9+ 'Prediction Results (Transposed)'!N$5*$B$7*$B$10) *(H35*H73) *H16/(H54 *$B$14)</f>
        <v>15587019.088651584</v>
      </c>
      <c r="I92" s="63">
        <f>('Prediction Results (Transposed)'!O$3*$B$5*$B$8 + 'Prediction Results (Transposed)'!O$4*$B$6*$B$9+ 'Prediction Results (Transposed)'!O$5*$B$7*$B$10) *(I35*I73) *I16/(I54 *$B$14)</f>
        <v>13468768.141668336</v>
      </c>
      <c r="K92" s="193">
        <v>2050</v>
      </c>
      <c r="L92" s="63">
        <f>('Prediction Results (Transposed)'!J$3*$B$5*$B$8 + 'Prediction Results (Transposed)'!J$4*$B$6*$B$9+ 'Prediction Results (Transposed)'!J$5*$B$7*$B$10) * (L35*L73) * L16/L54 * 1/$B$14</f>
        <v>863366293.22025502</v>
      </c>
      <c r="M92" s="63">
        <f>('Prediction Results (Transposed)'!K$3*$B$5*$B$8 + 'Prediction Results (Transposed)'!K$4*$B$6*$B$9+ 'Prediction Results (Transposed)'!K$5*$B$7*$B$10) * (M35*M73) * M16/M54 * 1/$B$14</f>
        <v>932655634.80259693</v>
      </c>
      <c r="N92" s="63">
        <f>('Prediction Results (Transposed)'!L$3*$B$5*$B$8 + 'Prediction Results (Transposed)'!L$4*$B$6*$B$9+ 'Prediction Results (Transposed)'!L$5*$B$7*$B$10) * (N35*N73) * N16/N54 * 1/$B$14</f>
        <v>41733109.274667948</v>
      </c>
      <c r="O92" s="63">
        <f>('Prediction Results (Transposed)'!M$3*$B$5*$B$8 + 'Prediction Results (Transposed)'!M$4*$B$6*$B$9+ 'Prediction Results (Transposed)'!M$5*$B$7*$B$10) * (O35*O73) * O16/O54 * 1/$B$14</f>
        <v>6690660.2074568234</v>
      </c>
      <c r="P92" s="63">
        <f>('Prediction Results (Transposed)'!N$3*$B$5*$B$8 + 'Prediction Results (Transposed)'!N$4*$B$6*$B$9+ 'Prediction Results (Transposed)'!N$5*$B$7*$B$10) * (P35*P73) * P16/P54 * 1/$B$14</f>
        <v>20227591.970759969</v>
      </c>
      <c r="Q92" s="63">
        <f>('Prediction Results (Transposed)'!O$3*$B$5*$B$8 + 'Prediction Results (Transposed)'!O$4*$B$6*$B$9+ 'Prediction Results (Transposed)'!O$5*$B$7*$B$10) * (Q35*Q73) * Q16/Q54 * 1/$B$14</f>
        <v>17478694.596376911</v>
      </c>
      <c r="S92" s="193">
        <v>2050</v>
      </c>
      <c r="T92" s="63">
        <f>('Prediction Results (Transposed)'!J$3*$B$5*$B$8 + 'Prediction Results (Transposed)'!J$4*$B$6*$B$9+ 'Prediction Results (Transposed)'!J$5*$B$7*$B$10) * (T35*T73) * T16/T54 * 1/$B$14</f>
        <v>1133670183.389395</v>
      </c>
      <c r="U92" s="63">
        <f>('Prediction Results (Transposed)'!K$3*$B$5*$B$8 + 'Prediction Results (Transposed)'!K$4*$B$6*$B$9+ 'Prediction Results (Transposed)'!K$5*$B$7*$B$10) * (U35*U73) * U16/U54 * 1/$B$14</f>
        <v>1224652726.0198205</v>
      </c>
      <c r="V92" s="63">
        <f>('Prediction Results (Transposed)'!L$3*$B$5*$B$8 + 'Prediction Results (Transposed)'!L$4*$B$6*$B$9+ 'Prediction Results (Transposed)'!L$5*$B$7*$B$10) * (V35*V73) * V16/V54 * 1/$B$14</f>
        <v>54798967.734026097</v>
      </c>
      <c r="W92" s="63">
        <f>('Prediction Results (Transposed)'!M$3*$B$5*$B$8 + 'Prediction Results (Transposed)'!M$4*$B$6*$B$9+ 'Prediction Results (Transposed)'!M$5*$B$7*$B$10) * (W35*W73) * W16/W54 * 1/$B$14</f>
        <v>8785381.1805560961</v>
      </c>
      <c r="X92" s="63">
        <f>('Prediction Results (Transposed)'!N$3*$B$5*$B$8 + 'Prediction Results (Transposed)'!N$4*$B$6*$B$9+ 'Prediction Results (Transposed)'!N$5*$B$7*$B$10) * (X35*X73) * X16/X54 * 1/$B$14</f>
        <v>26560473.902086001</v>
      </c>
      <c r="Y92" s="63">
        <f>('Prediction Results (Transposed)'!O$3*$B$5*$B$8 + 'Prediction Results (Transposed)'!O$4*$B$6*$B$9+ 'Prediction Results (Transposed)'!O$5*$B$7*$B$10) * (Y35*Y73) * Y16/Y54 * 1/$B$14</f>
        <v>22950948.009070326</v>
      </c>
      <c r="AA92" s="193">
        <v>2050</v>
      </c>
      <c r="AB92" s="63">
        <f>('Prediction Results (Transposed)'!J$3*$B$5*$B$8 + 'Prediction Results (Transposed)'!J$4*$B$6*$B$9+ 'Prediction Results (Transposed)'!J$5*$B$7*$B$10) * (AB35*AB73) * AB16/AB54 * 1/$B$14</f>
        <v>1426115698.6806767</v>
      </c>
      <c r="AC92" s="63">
        <f>('Prediction Results (Transposed)'!K$3*$B$5*$B$8 + 'Prediction Results (Transposed)'!K$4*$B$6*$B$9+ 'Prediction Results (Transposed)'!K$5*$B$7*$B$10) * (AC35*AC73) * AC16/AC54 * 1/$B$14</f>
        <v>1540568415.3986962</v>
      </c>
      <c r="AD92" s="63">
        <f>('Prediction Results (Transposed)'!L$3*$B$5*$B$8 + 'Prediction Results (Transposed)'!L$4*$B$6*$B$9+ 'Prediction Results (Transposed)'!L$5*$B$7*$B$10) * (AD35*AD73) * AD16/AD54 * 1/$B$14</f>
        <v>68935100.615720645</v>
      </c>
      <c r="AE92" s="63">
        <f>('Prediction Results (Transposed)'!M$3*$B$5*$B$8 + 'Prediction Results (Transposed)'!M$4*$B$6*$B$9+ 'Prediction Results (Transposed)'!M$5*$B$7*$B$10) * (AE35*AE73) * AE16/AE54 * 1/$B$14</f>
        <v>11051688.757506425</v>
      </c>
      <c r="AF92" s="63">
        <f>('Prediction Results (Transposed)'!N$3*$B$5*$B$8 + 'Prediction Results (Transposed)'!N$4*$B$6*$B$9+ 'Prediction Results (Transposed)'!N$5*$B$7*$B$10) * (AF35*AF73) * AF16/AF54 * 1/$B$14</f>
        <v>33412106.405512433</v>
      </c>
      <c r="AG92" s="63">
        <f>('Prediction Results (Transposed)'!O$3*$B$5*$B$8 + 'Prediction Results (Transposed)'!O$4*$B$6*$B$9+ 'Prediction Results (Transposed)'!O$5*$B$7*$B$10) * (AG35*AG73) * AG16/AG54 * 1/$B$14</f>
        <v>28871454.621380672</v>
      </c>
    </row>
    <row r="93" spans="1:33">
      <c r="A93" s="262"/>
      <c r="B93" s="263"/>
      <c r="C93" s="193">
        <v>2060</v>
      </c>
      <c r="D93" s="63">
        <f>('Prediction Results (Transposed)'!J$3*$B$5*$B$8 + 'Prediction Results (Transposed)'!J$4*$B$6*$B$9+ 'Prediction Results (Transposed)'!J$5*$B$7*$B$10) *(D36*D74) *D17/(D55 *$B$14)</f>
        <v>975737737.52147615</v>
      </c>
      <c r="E93" s="63">
        <f>('Prediction Results (Transposed)'!K$3*$B$5*$B$8 + 'Prediction Results (Transposed)'!K$4*$B$6*$B$9+ 'Prediction Results (Transposed)'!K$5*$B$7*$B$10) *(E36*E74) *E17/(E55 *$B$14)</f>
        <v>1054045433.7111621</v>
      </c>
      <c r="F93" s="63">
        <f>('Prediction Results (Transposed)'!L$3*$B$5*$B$8 + 'Prediction Results (Transposed)'!L$4*$B$6*$B$9+ 'Prediction Results (Transposed)'!L$5*$B$7*$B$10) *(F36*F74) *F17/(F55 *$B$14)</f>
        <v>47164882.325343147</v>
      </c>
      <c r="G93" s="63">
        <f>('Prediction Results (Transposed)'!M$3*$B$5*$B$8 + 'Prediction Results (Transposed)'!M$4*$B$6*$B$9+ 'Prediction Results (Transposed)'!M$5*$B$7*$B$10) *(G36*G74) *G17/(G55 *$B$14)</f>
        <v>7561483.1209115051</v>
      </c>
      <c r="H93" s="63">
        <f>('Prediction Results (Transposed)'!N$3*$B$5*$B$8 + 'Prediction Results (Transposed)'!N$4*$B$6*$B$9+ 'Prediction Results (Transposed)'!N$5*$B$7*$B$10) *(H36*H74) *H17/(H55 *$B$14)</f>
        <v>22860314.306967996</v>
      </c>
      <c r="I93" s="63">
        <f>('Prediction Results (Transposed)'!O$3*$B$5*$B$8 + 'Prediction Results (Transposed)'!O$4*$B$6*$B$9+ 'Prediction Results (Transposed)'!O$5*$B$7*$B$10) *(I36*I74) *I17/(I55 *$B$14)</f>
        <v>19753634.180790082</v>
      </c>
      <c r="K93" s="193">
        <v>2060</v>
      </c>
      <c r="L93" s="63">
        <f>('Prediction Results (Transposed)'!J$3*$B$5*$B$8 + 'Prediction Results (Transposed)'!J$4*$B$6*$B$9+ 'Prediction Results (Transposed)'!J$5*$B$7*$B$10) * (L36*L74) * L17/L55 * 1/$B$14</f>
        <v>1434043225.3344936</v>
      </c>
      <c r="M93" s="63">
        <f>('Prediction Results (Transposed)'!K$3*$B$5*$B$8 + 'Prediction Results (Transposed)'!K$4*$B$6*$B$9+ 'Prediction Results (Transposed)'!K$5*$B$7*$B$10) * (M36*M74) * M17/M55 * 1/$B$14</f>
        <v>1549132164.5996916</v>
      </c>
      <c r="N93" s="63">
        <f>('Prediction Results (Transposed)'!L$3*$B$5*$B$8 + 'Prediction Results (Transposed)'!L$4*$B$6*$B$9+ 'Prediction Results (Transposed)'!L$5*$B$7*$B$10) * (N36*N74) * N17/N55 * 1/$B$14</f>
        <v>69318298.73072657</v>
      </c>
      <c r="O93" s="63">
        <f>('Prediction Results (Transposed)'!M$3*$B$5*$B$8 + 'Prediction Results (Transposed)'!M$4*$B$6*$B$9+ 'Prediction Results (Transposed)'!M$5*$B$7*$B$10) * (O36*O74) * O17/O55 * 1/$B$14</f>
        <v>11113123.153941354</v>
      </c>
      <c r="P93" s="63">
        <f>('Prediction Results (Transposed)'!N$3*$B$5*$B$8 + 'Prediction Results (Transposed)'!N$4*$B$6*$B$9+ 'Prediction Results (Transposed)'!N$5*$B$7*$B$10) * (P36*P74) * P17/P55 * 1/$B$14</f>
        <v>33597838.435764194</v>
      </c>
      <c r="Q93" s="63">
        <f>('Prediction Results (Transposed)'!O$3*$B$5*$B$8 + 'Prediction Results (Transposed)'!O$4*$B$6*$B$9+ 'Prediction Results (Transposed)'!O$5*$B$7*$B$10) * (Q36*Q74) * Q17/Q55 * 1/$B$14</f>
        <v>29031945.965987004</v>
      </c>
      <c r="S93" s="193">
        <v>2060</v>
      </c>
      <c r="T93" s="63">
        <f>('Prediction Results (Transposed)'!J$3*$B$5*$B$8 + 'Prediction Results (Transposed)'!J$4*$B$6*$B$9+ 'Prediction Results (Transposed)'!J$5*$B$7*$B$10) * (T36*T74) * T17/T55 * 1/$B$14</f>
        <v>2209212860.1567292</v>
      </c>
      <c r="U93" s="63">
        <f>('Prediction Results (Transposed)'!K$3*$B$5*$B$8 + 'Prediction Results (Transposed)'!K$4*$B$6*$B$9+ 'Prediction Results (Transposed)'!K$5*$B$7*$B$10) * (U36*U74) * U17/U55 * 1/$B$14</f>
        <v>2386512930.4716716</v>
      </c>
      <c r="V93" s="63">
        <f>('Prediction Results (Transposed)'!L$3*$B$5*$B$8 + 'Prediction Results (Transposed)'!L$4*$B$6*$B$9+ 'Prediction Results (Transposed)'!L$5*$B$7*$B$10) * (V36*V74) * V17/V55 * 1/$B$14</f>
        <v>106788187.6185336</v>
      </c>
      <c r="W93" s="63">
        <f>('Prediction Results (Transposed)'!M$3*$B$5*$B$8 + 'Prediction Results (Transposed)'!M$4*$B$6*$B$9+ 'Prediction Results (Transposed)'!M$5*$B$7*$B$10) * (W36*W74) * W17/W55 * 1/$B$14</f>
        <v>17120303.038610376</v>
      </c>
      <c r="X93" s="63">
        <f>('Prediction Results (Transposed)'!N$3*$B$5*$B$8 + 'Prediction Results (Transposed)'!N$4*$B$6*$B$9+ 'Prediction Results (Transposed)'!N$5*$B$7*$B$10) * (X36*X74) * X17/X55 * 1/$B$14</f>
        <v>51759093.055542462</v>
      </c>
      <c r="Y93" s="63">
        <f>('Prediction Results (Transposed)'!O$3*$B$5*$B$8 + 'Prediction Results (Transposed)'!O$4*$B$6*$B$9+ 'Prediction Results (Transposed)'!O$5*$B$7*$B$10) * (Y36*Y74) * Y17/Y55 * 1/$B$14</f>
        <v>44725115.150189064</v>
      </c>
      <c r="AA93" s="193">
        <v>2060</v>
      </c>
      <c r="AB93" s="63">
        <f>('Prediction Results (Transposed)'!J$3*$B$5*$B$8 + 'Prediction Results (Transposed)'!J$4*$B$6*$B$9+ 'Prediction Results (Transposed)'!J$5*$B$7*$B$10) * (AB36*AB74) * AB17/AB55 * 1/$B$14</f>
        <v>3436899212.3119483</v>
      </c>
      <c r="AC93" s="63">
        <f>('Prediction Results (Transposed)'!K$3*$B$5*$B$8 + 'Prediction Results (Transposed)'!K$4*$B$6*$B$9+ 'Prediction Results (Transposed)'!K$5*$B$7*$B$10) * (AC36*AC74) * AC17/AC55 * 1/$B$14</f>
        <v>3712727079.7837319</v>
      </c>
      <c r="AD93" s="63">
        <f>('Prediction Results (Transposed)'!L$3*$B$5*$B$8 + 'Prediction Results (Transposed)'!L$4*$B$6*$B$9+ 'Prediction Results (Transposed)'!L$5*$B$7*$B$10) * (AD36*AD74) * AD17/AD55 * 1/$B$14</f>
        <v>166131677.27274624</v>
      </c>
      <c r="AE93" s="63">
        <f>('Prediction Results (Transposed)'!M$3*$B$5*$B$8 + 'Prediction Results (Transposed)'!M$4*$B$6*$B$9+ 'Prediction Results (Transposed)'!M$5*$B$7*$B$10) * (AE36*AE74) * AE17/AE55 * 1/$B$14</f>
        <v>26634262.858567398</v>
      </c>
      <c r="AF93" s="63">
        <f>('Prediction Results (Transposed)'!N$3*$B$5*$B$8 + 'Prediction Results (Transposed)'!N$4*$B$6*$B$9+ 'Prediction Results (Transposed)'!N$5*$B$7*$B$10) * (AF36*AF74) * AF17/AF55 * 1/$B$14</f>
        <v>80522248.1549173</v>
      </c>
      <c r="AG93" s="63">
        <f>('Prediction Results (Transposed)'!O$3*$B$5*$B$8 + 'Prediction Results (Transposed)'!O$4*$B$6*$B$9+ 'Prediction Results (Transposed)'!O$5*$B$7*$B$10) * (AG36*AG74) * AG17/AG55 * 1/$B$14</f>
        <v>69579403.507247776</v>
      </c>
    </row>
    <row r="94" spans="1:33">
      <c r="A94" s="262"/>
      <c r="B94" s="263"/>
      <c r="C94" s="193">
        <v>2070</v>
      </c>
      <c r="D94" s="63">
        <f>('Prediction Results (Transposed)'!J$3*$B$5*$B$8 + 'Prediction Results (Transposed)'!J$4*$B$6*$B$9+ 'Prediction Results (Transposed)'!J$5*$B$7*$B$10) *(D37*D75) *D18/(D56 *$B$14)</f>
        <v>1352206812.455761</v>
      </c>
      <c r="E94" s="63">
        <f>('Prediction Results (Transposed)'!K$3*$B$5*$B$8 + 'Prediction Results (Transposed)'!K$4*$B$6*$B$9+ 'Prediction Results (Transposed)'!K$5*$B$7*$B$10) *(E37*E75) *E18/(E56 *$B$14)</f>
        <v>1460727981.806432</v>
      </c>
      <c r="F94" s="63">
        <f>('Prediction Results (Transposed)'!L$3*$B$5*$B$8 + 'Prediction Results (Transposed)'!L$4*$B$6*$B$9+ 'Prediction Results (Transposed)'!L$5*$B$7*$B$10) *(F37*F75) *F18/(F56 *$B$14)</f>
        <v>65362517.750933625</v>
      </c>
      <c r="G94" s="63">
        <f>('Prediction Results (Transposed)'!M$3*$B$5*$B$8 + 'Prediction Results (Transposed)'!M$4*$B$6*$B$9+ 'Prediction Results (Transposed)'!M$5*$B$7*$B$10) *(G37*G75) *G18/(G56 *$B$14)</f>
        <v>10478931.576776015</v>
      </c>
      <c r="H94" s="63">
        <f>('Prediction Results (Transposed)'!N$3*$B$5*$B$8 + 'Prediction Results (Transposed)'!N$4*$B$6*$B$9+ 'Prediction Results (Transposed)'!N$5*$B$7*$B$10) *(H37*H75) *H18/(H56 *$B$14)</f>
        <v>31680513.679098781</v>
      </c>
      <c r="I94" s="63">
        <f>('Prediction Results (Transposed)'!O$3*$B$5*$B$8 + 'Prediction Results (Transposed)'!O$4*$B$6*$B$9+ 'Prediction Results (Transposed)'!O$5*$B$7*$B$10) *(I37*I75) *I18/(I56 *$B$14)</f>
        <v>27375182.57505687</v>
      </c>
      <c r="K94" s="193">
        <v>2070</v>
      </c>
      <c r="L94" s="63">
        <f>('Prediction Results (Transposed)'!J$3*$B$5*$B$8 + 'Prediction Results (Transposed)'!J$4*$B$6*$B$9+ 'Prediction Results (Transposed)'!J$5*$B$7*$B$10) * (L37*L75) * L18/L56 * 1/$B$14</f>
        <v>2207211942.2414508</v>
      </c>
      <c r="M94" s="63">
        <f>('Prediction Results (Transposed)'!K$3*$B$5*$B$8 + 'Prediction Results (Transposed)'!K$4*$B$6*$B$9+ 'Prediction Results (Transposed)'!K$5*$B$7*$B$10) * (M37*M75) * M18/M56 * 1/$B$14</f>
        <v>2384351429.167861</v>
      </c>
      <c r="N94" s="63">
        <f>('Prediction Results (Transposed)'!L$3*$B$5*$B$8 + 'Prediction Results (Transposed)'!L$4*$B$6*$B$9+ 'Prediction Results (Transposed)'!L$5*$B$7*$B$10) * (N37*N75) * N18/N56 * 1/$B$14</f>
        <v>106691467.921849</v>
      </c>
      <c r="O94" s="63">
        <f>('Prediction Results (Transposed)'!M$3*$B$5*$B$8 + 'Prediction Results (Transposed)'!M$4*$B$6*$B$9+ 'Prediction Results (Transposed)'!M$5*$B$7*$B$10) * (O37*O75) * O18/O56 * 1/$B$14</f>
        <v>17104796.917999368</v>
      </c>
      <c r="P94" s="63">
        <f>('Prediction Results (Transposed)'!N$3*$B$5*$B$8 + 'Prediction Results (Transposed)'!N$4*$B$6*$B$9+ 'Prediction Results (Transposed)'!N$5*$B$7*$B$10) * (P37*P75) * P18/P56 * 1/$B$14</f>
        <v>51712214.052418217</v>
      </c>
      <c r="Q94" s="63">
        <f>('Prediction Results (Transposed)'!O$3*$B$5*$B$8 + 'Prediction Results (Transposed)'!O$4*$B$6*$B$9+ 'Prediction Results (Transposed)'!O$5*$B$7*$B$10) * (Q37*Q75) * Q18/Q56 * 1/$B$14</f>
        <v>44684606.928559147</v>
      </c>
      <c r="S94" s="193">
        <v>2070</v>
      </c>
      <c r="T94" s="63">
        <f>('Prediction Results (Transposed)'!J$3*$B$5*$B$8 + 'Prediction Results (Transposed)'!J$4*$B$6*$B$9+ 'Prediction Results (Transposed)'!J$5*$B$7*$B$10) * (T37*T75) * T18/T56 * 1/$B$14</f>
        <v>4182222268.5345068</v>
      </c>
      <c r="U94" s="63">
        <f>('Prediction Results (Transposed)'!K$3*$B$5*$B$8 + 'Prediction Results (Transposed)'!K$4*$B$6*$B$9+ 'Prediction Results (Transposed)'!K$5*$B$7*$B$10) * (U37*U75) * U18/U56 * 1/$B$14</f>
        <v>4517865934.0486021</v>
      </c>
      <c r="V94" s="63">
        <f>('Prediction Results (Transposed)'!L$3*$B$5*$B$8 + 'Prediction Results (Transposed)'!L$4*$B$6*$B$9+ 'Prediction Results (Transposed)'!L$5*$B$7*$B$10) * (V37*V75) * V18/V56 * 1/$B$14</f>
        <v>202158852.29048851</v>
      </c>
      <c r="W94" s="63">
        <f>('Prediction Results (Transposed)'!M$3*$B$5*$B$8 + 'Prediction Results (Transposed)'!M$4*$B$6*$B$9+ 'Prediction Results (Transposed)'!M$5*$B$7*$B$10) * (W37*W75) * W18/W56 * 1/$B$14</f>
        <v>32410146.574583866</v>
      </c>
      <c r="X94" s="63">
        <f>('Prediction Results (Transposed)'!N$3*$B$5*$B$8 + 'Prediction Results (Transposed)'!N$4*$B$6*$B$9+ 'Prediction Results (Transposed)'!N$5*$B$7*$B$10) * (X37*X75) * X18/X56 * 1/$B$14</f>
        <v>97984234.783370897</v>
      </c>
      <c r="Y94" s="63">
        <f>('Prediction Results (Transposed)'!O$3*$B$5*$B$8 + 'Prediction Results (Transposed)'!O$4*$B$6*$B$9+ 'Prediction Results (Transposed)'!O$5*$B$7*$B$10) * (Y37*Y75) * Y18/Y56 * 1/$B$14</f>
        <v>84668334.100961506</v>
      </c>
      <c r="AA94" s="193">
        <v>2070</v>
      </c>
      <c r="AB94" s="63">
        <f>('Prediction Results (Transposed)'!J$3*$B$5*$B$8 + 'Prediction Results (Transposed)'!J$4*$B$6*$B$9+ 'Prediction Results (Transposed)'!J$5*$B$7*$B$10) * (AB37*AB75) * AB18/AB56 * 1/$B$14</f>
        <v>8505471876.5733347</v>
      </c>
      <c r="AC94" s="63">
        <f>('Prediction Results (Transposed)'!K$3*$B$5*$B$8 + 'Prediction Results (Transposed)'!K$4*$B$6*$B$9+ 'Prediction Results (Transposed)'!K$5*$B$7*$B$10) * (AC37*AC75) * AC18/AC56 * 1/$B$14</f>
        <v>9188077337.0861835</v>
      </c>
      <c r="AD94" s="63">
        <f>('Prediction Results (Transposed)'!L$3*$B$5*$B$8 + 'Prediction Results (Transposed)'!L$4*$B$6*$B$9+ 'Prediction Results (Transposed)'!L$5*$B$7*$B$10) * (AD37*AD75) * AD18/AD56 * 1/$B$14</f>
        <v>411134636.64847434</v>
      </c>
      <c r="AE94" s="63">
        <f>('Prediction Results (Transposed)'!M$3*$B$5*$B$8 + 'Prediction Results (Transposed)'!M$4*$B$6*$B$9+ 'Prediction Results (Transposed)'!M$5*$B$7*$B$10) * (AE37*AE75) * AE18/AE56 * 1/$B$14</f>
        <v>65913185.025992885</v>
      </c>
      <c r="AF94" s="63">
        <f>('Prediction Results (Transposed)'!N$3*$B$5*$B$8 + 'Prediction Results (Transposed)'!N$4*$B$6*$B$9+ 'Prediction Results (Transposed)'!N$5*$B$7*$B$10) * (AF37*AF75) * AF18/AF56 * 1/$B$14</f>
        <v>199272563.67212474</v>
      </c>
      <c r="AG94" s="63">
        <f>('Prediction Results (Transposed)'!O$3*$B$5*$B$8 + 'Prediction Results (Transposed)'!O$4*$B$6*$B$9+ 'Prediction Results (Transposed)'!O$5*$B$7*$B$10) * (AG37*AG75) * AG18/AG56 * 1/$B$14</f>
        <v>172191741.20661679</v>
      </c>
    </row>
    <row r="95" spans="1:33">
      <c r="A95" s="262"/>
      <c r="B95" s="263"/>
      <c r="C95" s="193">
        <v>2080</v>
      </c>
      <c r="D95" s="63">
        <f>('Prediction Results (Transposed)'!J$3*$B$5*$B$8 + 'Prediction Results (Transposed)'!J$4*$B$6*$B$9+ 'Prediction Results (Transposed)'!J$5*$B$7*$B$10) *(D38*D76) *D19/(D57 *$B$14)</f>
        <v>1768922952.4053693</v>
      </c>
      <c r="E95" s="63">
        <f>('Prediction Results (Transposed)'!K$3*$B$5*$B$8 + 'Prediction Results (Transposed)'!K$4*$B$6*$B$9+ 'Prediction Results (Transposed)'!K$5*$B$7*$B$10) *(E38*E76) *E19/(E57 *$B$14)</f>
        <v>1910887617.5128031</v>
      </c>
      <c r="F95" s="63">
        <f>('Prediction Results (Transposed)'!L$3*$B$5*$B$8 + 'Prediction Results (Transposed)'!L$4*$B$6*$B$9+ 'Prediction Results (Transposed)'!L$5*$B$7*$B$10) *(F38*F76) *F19/(F57 *$B$14)</f>
        <v>85505602.2581698</v>
      </c>
      <c r="G95" s="63">
        <f>('Prediction Results (Transposed)'!M$3*$B$5*$B$8 + 'Prediction Results (Transposed)'!M$4*$B$6*$B$9+ 'Prediction Results (Transposed)'!M$5*$B$7*$B$10) *(G38*G76) *G19/(G57 *$B$14)</f>
        <v>13708274.808333671</v>
      </c>
      <c r="H95" s="63">
        <f>('Prediction Results (Transposed)'!N$3*$B$5*$B$8 + 'Prediction Results (Transposed)'!N$4*$B$6*$B$9+ 'Prediction Results (Transposed)'!N$5*$B$7*$B$10) *(H38*H76) *H19/(H57 *$B$14)</f>
        <v>41443651.425756693</v>
      </c>
      <c r="I95" s="63">
        <f>('Prediction Results (Transposed)'!O$3*$B$5*$B$8 + 'Prediction Results (Transposed)'!O$4*$B$6*$B$9+ 'Prediction Results (Transposed)'!O$5*$B$7*$B$10) *(I38*I76) *I19/(I57 *$B$14)</f>
        <v>35811525.527933903</v>
      </c>
      <c r="K95" s="193">
        <v>2080</v>
      </c>
      <c r="L95" s="63">
        <f>('Prediction Results (Transposed)'!J$3*$B$5*$B$8 + 'Prediction Results (Transposed)'!J$4*$B$6*$B$9+ 'Prediction Results (Transposed)'!J$5*$B$7*$B$10) * (L38*L76) * L19/L57 * 1/$B$14</f>
        <v>3186475812.1955829</v>
      </c>
      <c r="M95" s="63">
        <f>('Prediction Results (Transposed)'!K$3*$B$5*$B$8 + 'Prediction Results (Transposed)'!K$4*$B$6*$B$9+ 'Prediction Results (Transposed)'!K$5*$B$7*$B$10) * (M38*M76) * M19/M57 * 1/$B$14</f>
        <v>3442205984.5788174</v>
      </c>
      <c r="N95" s="63">
        <f>('Prediction Results (Transposed)'!L$3*$B$5*$B$8 + 'Prediction Results (Transposed)'!L$4*$B$6*$B$9+ 'Prediction Results (Transposed)'!L$5*$B$7*$B$10) * (N38*N76) * N19/N57 * 1/$B$14</f>
        <v>154026795.24983421</v>
      </c>
      <c r="O95" s="63">
        <f>('Prediction Results (Transposed)'!M$3*$B$5*$B$8 + 'Prediction Results (Transposed)'!M$4*$B$6*$B$9+ 'Prediction Results (Transposed)'!M$5*$B$7*$B$10) * (O38*O76) * O19/O57 * 1/$B$14</f>
        <v>24693605.81493276</v>
      </c>
      <c r="P95" s="63">
        <f>('Prediction Results (Transposed)'!N$3*$B$5*$B$8 + 'Prediction Results (Transposed)'!N$4*$B$6*$B$9+ 'Prediction Results (Transposed)'!N$5*$B$7*$B$10) * (P38*P76) * P19/P57 * 1/$B$14</f>
        <v>74655141.230241492</v>
      </c>
      <c r="Q95" s="63">
        <f>('Prediction Results (Transposed)'!O$3*$B$5*$B$8 + 'Prediction Results (Transposed)'!O$4*$B$6*$B$9+ 'Prediction Results (Transposed)'!O$5*$B$7*$B$10) * (Q38*Q76) * Q19/Q57 * 1/$B$14</f>
        <v>64509627.023277938</v>
      </c>
      <c r="S95" s="193">
        <v>2080</v>
      </c>
      <c r="T95" s="63">
        <f>('Prediction Results (Transposed)'!J$3*$B$5*$B$8 + 'Prediction Results (Transposed)'!J$4*$B$6*$B$9+ 'Prediction Results (Transposed)'!J$5*$B$7*$B$10) * (T38*T76) * T19/T57 * 1/$B$14</f>
        <v>7572299831.6696177</v>
      </c>
      <c r="U95" s="63">
        <f>('Prediction Results (Transposed)'!K$3*$B$5*$B$8 + 'Prediction Results (Transposed)'!K$4*$B$6*$B$9+ 'Prediction Results (Transposed)'!K$5*$B$7*$B$10) * (U38*U76) * U19/U57 * 1/$B$14</f>
        <v>8180013699.7237806</v>
      </c>
      <c r="V95" s="63">
        <f>('Prediction Results (Transposed)'!L$3*$B$5*$B$8 + 'Prediction Results (Transposed)'!L$4*$B$6*$B$9+ 'Prediction Results (Transposed)'!L$5*$B$7*$B$10) * (V38*V76) * V19/V57 * 1/$B$14</f>
        <v>366027280.44537908</v>
      </c>
      <c r="W95" s="63">
        <f>('Prediction Results (Transposed)'!M$3*$B$5*$B$8 + 'Prediction Results (Transposed)'!M$4*$B$6*$B$9+ 'Prediction Results (Transposed)'!M$5*$B$7*$B$10) * (W38*W76) * W19/W57 * 1/$B$14</f>
        <v>58681564.893753603</v>
      </c>
      <c r="X95" s="63">
        <f>('Prediction Results (Transposed)'!N$3*$B$5*$B$8 + 'Prediction Results (Transposed)'!N$4*$B$6*$B$9+ 'Prediction Results (Transposed)'!N$5*$B$7*$B$10) * (X38*X76) * X19/X57 * 1/$B$14</f>
        <v>177409510.28324673</v>
      </c>
      <c r="Y95" s="63">
        <f>('Prediction Results (Transposed)'!O$3*$B$5*$B$8 + 'Prediction Results (Transposed)'!O$4*$B$6*$B$9+ 'Prediction Results (Transposed)'!O$5*$B$7*$B$10) * (Y38*Y76) * Y19/Y57 * 1/$B$14</f>
        <v>153299841.78127328</v>
      </c>
      <c r="AA95" s="193">
        <v>2080</v>
      </c>
      <c r="AB95" s="63">
        <f>('Prediction Results (Transposed)'!J$3*$B$5*$B$8 + 'Prediction Results (Transposed)'!J$4*$B$6*$B$9+ 'Prediction Results (Transposed)'!J$5*$B$7*$B$10) * (AB38*AB76) * AB19/AB57 * 1/$B$14</f>
        <v>21041726706.477627</v>
      </c>
      <c r="AC95" s="63">
        <f>('Prediction Results (Transposed)'!K$3*$B$5*$B$8 + 'Prediction Results (Transposed)'!K$4*$B$6*$B$9+ 'Prediction Results (Transposed)'!K$5*$B$7*$B$10) * (AC38*AC76) * AC19/AC57 * 1/$B$14</f>
        <v>22730427551.873558</v>
      </c>
      <c r="AD95" s="63">
        <f>('Prediction Results (Transposed)'!L$3*$B$5*$B$8 + 'Prediction Results (Transposed)'!L$4*$B$6*$B$9+ 'Prediction Results (Transposed)'!L$5*$B$7*$B$10) * (AD38*AD76) * AD19/AD57 * 1/$B$14</f>
        <v>1017107902.9432369</v>
      </c>
      <c r="AE95" s="63">
        <f>('Prediction Results (Transposed)'!M$3*$B$5*$B$8 + 'Prediction Results (Transposed)'!M$4*$B$6*$B$9+ 'Prediction Results (Transposed)'!M$5*$B$7*$B$10) * (AE38*AE76) * AE19/AE57 * 1/$B$14</f>
        <v>163062937.10645932</v>
      </c>
      <c r="AF95" s="63">
        <f>('Prediction Results (Transposed)'!N$3*$B$5*$B$8 + 'Prediction Results (Transposed)'!N$4*$B$6*$B$9+ 'Prediction Results (Transposed)'!N$5*$B$7*$B$10) * (AF38*AF76) * AF19/AF57 * 1/$B$14</f>
        <v>492981328.45949686</v>
      </c>
      <c r="AG95" s="63">
        <f>('Prediction Results (Transposed)'!O$3*$B$5*$B$8 + 'Prediction Results (Transposed)'!O$4*$B$6*$B$9+ 'Prediction Results (Transposed)'!O$5*$B$7*$B$10) * (AG38*AG76) * AG19/AG57 * 1/$B$14</f>
        <v>425985954.94290966</v>
      </c>
    </row>
    <row r="96" spans="1:33">
      <c r="A96" s="262"/>
      <c r="B96" s="263"/>
      <c r="C96" s="193">
        <v>2090</v>
      </c>
      <c r="D96" s="63">
        <f>('Prediction Results (Transposed)'!J$3*$B$5*$B$8 + 'Prediction Results (Transposed)'!J$4*$B$6*$B$9+ 'Prediction Results (Transposed)'!J$5*$B$7*$B$10) *(D39*D77) *D20/(D58 *$B$14)</f>
        <v>2188856039.6816697</v>
      </c>
      <c r="E96" s="63">
        <f>('Prediction Results (Transposed)'!K$3*$B$5*$B$8 + 'Prediction Results (Transposed)'!K$4*$B$6*$B$9+ 'Prediction Results (Transposed)'!K$5*$B$7*$B$10) *(E39*E77) *E20/(E58 *$B$14)</f>
        <v>2364522376.2054</v>
      </c>
      <c r="F96" s="63">
        <f>('Prediction Results (Transposed)'!L$3*$B$5*$B$8 + 'Prediction Results (Transposed)'!L$4*$B$6*$B$9+ 'Prediction Results (Transposed)'!L$5*$B$7*$B$10) *(F39*F77) *F20/(F58 *$B$14)</f>
        <v>105804186.48246688</v>
      </c>
      <c r="G96" s="63">
        <f>('Prediction Results (Transposed)'!M$3*$B$5*$B$8 + 'Prediction Results (Transposed)'!M$4*$B$6*$B$9+ 'Prediction Results (Transposed)'!M$5*$B$7*$B$10) *(G39*G77) *G20/(G58 *$B$14)</f>
        <v>16962547.784817901</v>
      </c>
      <c r="H96" s="63">
        <f>('Prediction Results (Transposed)'!N$3*$B$5*$B$8 + 'Prediction Results (Transposed)'!N$4*$B$6*$B$9+ 'Prediction Results (Transposed)'!N$5*$B$7*$B$10) *(H39*H77) *H20/(H58 *$B$14)</f>
        <v>51282158.223102301</v>
      </c>
      <c r="I96" s="63">
        <f>('Prediction Results (Transposed)'!O$3*$B$5*$B$8 + 'Prediction Results (Transposed)'!O$4*$B$6*$B$9+ 'Prediction Results (Transposed)'!O$5*$B$7*$B$10) *(I39*I77) *I20/(I58 *$B$14)</f>
        <v>44312994.998139009</v>
      </c>
      <c r="K96" s="193">
        <v>2090</v>
      </c>
      <c r="L96" s="63">
        <f>('Prediction Results (Transposed)'!J$3*$B$5*$B$8 + 'Prediction Results (Transposed)'!J$4*$B$6*$B$9+ 'Prediction Results (Transposed)'!J$5*$B$7*$B$10) * (L39*L77) * L20/L58 * 1/$B$14</f>
        <v>4383709926.0561962</v>
      </c>
      <c r="M96" s="63">
        <f>('Prediction Results (Transposed)'!K$3*$B$5*$B$8 + 'Prediction Results (Transposed)'!K$4*$B$6*$B$9+ 'Prediction Results (Transposed)'!K$5*$B$7*$B$10) * (M39*M77) * M20/M58 * 1/$B$14</f>
        <v>4735523955.4544039</v>
      </c>
      <c r="N96" s="63">
        <f>('Prediction Results (Transposed)'!L$3*$B$5*$B$8 + 'Prediction Results (Transposed)'!L$4*$B$6*$B$9+ 'Prediction Results (Transposed)'!L$5*$B$7*$B$10) * (N39*N77) * N20/N58 * 1/$B$14</f>
        <v>211898294.85951236</v>
      </c>
      <c r="O96" s="63">
        <f>('Prediction Results (Transposed)'!M$3*$B$5*$B$8 + 'Prediction Results (Transposed)'!M$4*$B$6*$B$9+ 'Prediction Results (Transposed)'!M$5*$B$7*$B$10) * (O39*O77) * O20/O58 * 1/$B$14</f>
        <v>33971575.904244006</v>
      </c>
      <c r="P96" s="63">
        <f>('Prediction Results (Transposed)'!N$3*$B$5*$B$8 + 'Prediction Results (Transposed)'!N$4*$B$6*$B$9+ 'Prediction Results (Transposed)'!N$5*$B$7*$B$10) * (P39*P77) * P20/P58 * 1/$B$14</f>
        <v>102704838.48946589</v>
      </c>
      <c r="Q96" s="63">
        <f>('Prediction Results (Transposed)'!O$3*$B$5*$B$8 + 'Prediction Results (Transposed)'!O$4*$B$6*$B$9+ 'Prediction Results (Transposed)'!O$5*$B$7*$B$10) * (Q39*Q77) * Q20/Q58 * 1/$B$14</f>
        <v>88747415.318766937</v>
      </c>
      <c r="S96" s="193">
        <v>2090</v>
      </c>
      <c r="T96" s="63">
        <f>('Prediction Results (Transposed)'!J$3*$B$5*$B$8 + 'Prediction Results (Transposed)'!J$4*$B$6*$B$9+ 'Prediction Results (Transposed)'!J$5*$B$7*$B$10) * (T39*T77) * T20/T58 * 1/$B$14</f>
        <v>13287253671.095959</v>
      </c>
      <c r="U96" s="63">
        <f>('Prediction Results (Transposed)'!K$3*$B$5*$B$8 + 'Prediction Results (Transposed)'!K$4*$B$6*$B$9+ 'Prediction Results (Transposed)'!K$5*$B$7*$B$10) * (U39*U77) * U20/U58 * 1/$B$14</f>
        <v>14353620363.353333</v>
      </c>
      <c r="V96" s="63">
        <f>('Prediction Results (Transposed)'!L$3*$B$5*$B$8 + 'Prediction Results (Transposed)'!L$4*$B$6*$B$9+ 'Prediction Results (Transposed)'!L$5*$B$7*$B$10) * (V39*V77) * V20/V58 * 1/$B$14</f>
        <v>642274795.49588561</v>
      </c>
      <c r="W96" s="63">
        <f>('Prediction Results (Transposed)'!M$3*$B$5*$B$8 + 'Prediction Results (Transposed)'!M$4*$B$6*$B$9+ 'Prediction Results (Transposed)'!M$5*$B$7*$B$10) * (W39*W77) * W20/W58 * 1/$B$14</f>
        <v>102969620.31259969</v>
      </c>
      <c r="X96" s="63">
        <f>('Prediction Results (Transposed)'!N$3*$B$5*$B$8 + 'Prediction Results (Transposed)'!N$4*$B$6*$B$9+ 'Prediction Results (Transposed)'!N$5*$B$7*$B$10) * (X39*X77) * X20/X58 * 1/$B$14</f>
        <v>311303727.95587629</v>
      </c>
      <c r="Y96" s="63">
        <f>('Prediction Results (Transposed)'!O$3*$B$5*$B$8 + 'Prediction Results (Transposed)'!O$4*$B$6*$B$9+ 'Prediction Results (Transposed)'!O$5*$B$7*$B$10) * (Y39*Y77) * Y20/Y58 * 1/$B$14</f>
        <v>268998049.57109433</v>
      </c>
      <c r="AA96" s="193">
        <v>2090</v>
      </c>
      <c r="AB96" s="63">
        <f>('Prediction Results (Transposed)'!J$3*$B$5*$B$8 + 'Prediction Results (Transposed)'!J$4*$B$6*$B$9+ 'Prediction Results (Transposed)'!J$5*$B$7*$B$10) * (AB39*AB77) * AB20/AB58 * 1/$B$14</f>
        <v>49984687054.054916</v>
      </c>
      <c r="AC96" s="63">
        <f>('Prediction Results (Transposed)'!K$3*$B$5*$B$8 + 'Prediction Results (Transposed)'!K$4*$B$6*$B$9+ 'Prediction Results (Transposed)'!K$5*$B$7*$B$10) * (AC39*AC77) * AC20/AC58 * 1/$B$14</f>
        <v>53996201149.951256</v>
      </c>
      <c r="AD96" s="63">
        <f>('Prediction Results (Transposed)'!L$3*$B$5*$B$8 + 'Prediction Results (Transposed)'!L$4*$B$6*$B$9+ 'Prediction Results (Transposed)'!L$5*$B$7*$B$10) * (AD39*AD77) * AD20/AD58 * 1/$B$14</f>
        <v>2416142978.0937552</v>
      </c>
      <c r="AE96" s="63">
        <f>('Prediction Results (Transposed)'!M$3*$B$5*$B$8 + 'Prediction Results (Transposed)'!M$4*$B$6*$B$9+ 'Prediction Results (Transposed)'!M$5*$B$7*$B$10) * (AE39*AE77) * AE20/AE58 * 1/$B$14</f>
        <v>387356512.85083246</v>
      </c>
      <c r="AF96" s="63">
        <f>('Prediction Results (Transposed)'!N$3*$B$5*$B$8 + 'Prediction Results (Transposed)'!N$4*$B$6*$B$9+ 'Prediction Results (Transposed)'!N$5*$B$7*$B$10) * (AF39*AF77) * AF20/AF58 * 1/$B$14</f>
        <v>1171078674.7816846</v>
      </c>
      <c r="AG96" s="63">
        <f>('Prediction Results (Transposed)'!O$3*$B$5*$B$8 + 'Prediction Results (Transposed)'!O$4*$B$6*$B$9+ 'Prediction Results (Transposed)'!O$5*$B$7*$B$10) * (AG39*AG77) * AG20/AG58 * 1/$B$14</f>
        <v>1011930957.2008253</v>
      </c>
    </row>
    <row r="97" spans="1:33">
      <c r="A97" s="262"/>
      <c r="B97" s="263"/>
      <c r="C97" s="193">
        <v>2100</v>
      </c>
      <c r="D97" s="63">
        <f>('Prediction Results (Transposed)'!J$3*$B$5*$B$8 + 'Prediction Results (Transposed)'!J$4*$B$6*$B$9+ 'Prediction Results (Transposed)'!J$5*$B$7*$B$10) *(D40*D78) *D21/(D59 *$B$14)</f>
        <v>2653869458.3260508</v>
      </c>
      <c r="E97" s="63">
        <f>('Prediction Results (Transposed)'!K$3*$B$5*$B$8 + 'Prediction Results (Transposed)'!K$4*$B$6*$B$9+ 'Prediction Results (Transposed)'!K$5*$B$7*$B$10) *(E40*E78) *E21/(E59 *$B$14)</f>
        <v>2866855381.9796467</v>
      </c>
      <c r="F97" s="63">
        <f>('Prediction Results (Transposed)'!L$3*$B$5*$B$8 + 'Prediction Results (Transposed)'!L$4*$B$6*$B$9+ 'Prediction Results (Transposed)'!L$5*$B$7*$B$10) *(F40*F78) *F21/(F59 *$B$14)</f>
        <v>128281848.59050338</v>
      </c>
      <c r="G97" s="63">
        <f>('Prediction Results (Transposed)'!M$3*$B$5*$B$8 + 'Prediction Results (Transposed)'!M$4*$B$6*$B$9+ 'Prediction Results (Transposed)'!M$5*$B$7*$B$10) *(G40*G78) *G21/(G59 *$B$14)</f>
        <v>20566170.952051867</v>
      </c>
      <c r="H97" s="63">
        <f>('Prediction Results (Transposed)'!N$3*$B$5*$B$8 + 'Prediction Results (Transposed)'!N$4*$B$6*$B$9+ 'Prediction Results (Transposed)'!N$5*$B$7*$B$10) *(H40*H78) *H21/(H59 *$B$14)</f>
        <v>62176840.778038599</v>
      </c>
      <c r="I97" s="63">
        <f>('Prediction Results (Transposed)'!O$3*$B$5*$B$8 + 'Prediction Results (Transposed)'!O$4*$B$6*$B$9+ 'Prediction Results (Transposed)'!O$5*$B$7*$B$10) *(I40*I78) *I21/(I59 *$B$14)</f>
        <v>53727107.630897053</v>
      </c>
      <c r="K97" s="193">
        <v>2100</v>
      </c>
      <c r="L97" s="63">
        <f>('Prediction Results (Transposed)'!J$3*$B$5*$B$8 + 'Prediction Results (Transposed)'!J$4*$B$6*$B$9+ 'Prediction Results (Transposed)'!J$5*$B$7*$B$10) * (L40*L78) * L21/L59 * 1/$B$14</f>
        <v>5868496539.9378757</v>
      </c>
      <c r="M97" s="63">
        <f>('Prediction Results (Transposed)'!K$3*$B$5*$B$8 + 'Prediction Results (Transposed)'!K$4*$B$6*$B$9+ 'Prediction Results (Transposed)'!K$5*$B$7*$B$10) * (M40*M78) * M21/M59 * 1/$B$14</f>
        <v>6339471912.1798067</v>
      </c>
      <c r="N97" s="63">
        <f>('Prediction Results (Transposed)'!L$3*$B$5*$B$8 + 'Prediction Results (Transposed)'!L$4*$B$6*$B$9+ 'Prediction Results (Transposed)'!L$5*$B$7*$B$10) * (N40*N78) * N21/N59 * 1/$B$14</f>
        <v>283669410.42573047</v>
      </c>
      <c r="O97" s="63">
        <f>('Prediction Results (Transposed)'!M$3*$B$5*$B$8 + 'Prediction Results (Transposed)'!M$4*$B$6*$B$9+ 'Prediction Results (Transposed)'!M$5*$B$7*$B$10) * (O40*O78) * O21/O59 * 1/$B$14</f>
        <v>45477935.130997322</v>
      </c>
      <c r="P97" s="63">
        <f>('Prediction Results (Transposed)'!N$3*$B$5*$B$8 + 'Prediction Results (Transposed)'!N$4*$B$6*$B$9+ 'Prediction Results (Transposed)'!N$5*$B$7*$B$10) * (P40*P78) * P21/P59 * 1/$B$14</f>
        <v>137491531.02667728</v>
      </c>
      <c r="Q97" s="63">
        <f>('Prediction Results (Transposed)'!O$3*$B$5*$B$8 + 'Prediction Results (Transposed)'!O$4*$B$6*$B$9+ 'Prediction Results (Transposed)'!O$5*$B$7*$B$10) * (Q40*Q78) * Q21/Q59 * 1/$B$14</f>
        <v>118806652.01658617</v>
      </c>
      <c r="S97" s="193">
        <v>2100</v>
      </c>
      <c r="T97" s="63">
        <f>('Prediction Results (Transposed)'!J$3*$B$5*$B$8 + 'Prediction Results (Transposed)'!J$4*$B$6*$B$9+ 'Prediction Results (Transposed)'!J$5*$B$7*$B$10) * (T40*T78) * T21/T59 * 1/$B$14</f>
        <v>22949161637.884811</v>
      </c>
      <c r="U97" s="63">
        <f>('Prediction Results (Transposed)'!K$3*$B$5*$B$8 + 'Prediction Results (Transposed)'!K$4*$B$6*$B$9+ 'Prediction Results (Transposed)'!K$5*$B$7*$B$10) * (U40*U78) * U21/U59 * 1/$B$14</f>
        <v>24790943407.96616</v>
      </c>
      <c r="V97" s="63">
        <f>('Prediction Results (Transposed)'!L$3*$B$5*$B$8 + 'Prediction Results (Transposed)'!L$4*$B$6*$B$9+ 'Prediction Results (Transposed)'!L$5*$B$7*$B$10) * (V40*V78) * V21/V59 * 1/$B$14</f>
        <v>1109308850.6195979</v>
      </c>
      <c r="W97" s="63">
        <f>('Prediction Results (Transposed)'!M$3*$B$5*$B$8 + 'Prediction Results (Transposed)'!M$4*$B$6*$B$9+ 'Prediction Results (Transposed)'!M$5*$B$7*$B$10) * (W40*W78) * W21/W59 * 1/$B$14</f>
        <v>177844610.99631941</v>
      </c>
      <c r="X97" s="63">
        <f>('Prediction Results (Transposed)'!N$3*$B$5*$B$8 + 'Prediction Results (Transposed)'!N$4*$B$6*$B$9+ 'Prediction Results (Transposed)'!N$5*$B$7*$B$10) * (X40*X78) * X21/X59 * 1/$B$14</f>
        <v>537670142.24138463</v>
      </c>
      <c r="Y97" s="63">
        <f>('Prediction Results (Transposed)'!O$3*$B$5*$B$8 + 'Prediction Results (Transposed)'!O$4*$B$6*$B$9+ 'Prediction Results (Transposed)'!O$5*$B$7*$B$10) * (Y40*Y78) * Y21/Y59 * 1/$B$14</f>
        <v>464601630.45668787</v>
      </c>
      <c r="AA97" s="193">
        <v>2100</v>
      </c>
      <c r="AB97" s="63">
        <f>('Prediction Results (Transposed)'!J$3*$B$5*$B$8 + 'Prediction Results (Transposed)'!J$4*$B$6*$B$9+ 'Prediction Results (Transposed)'!J$5*$B$7*$B$10) * (AB40*AB78) * AB21/AB59 * 1/$B$14</f>
        <v>110973568573.19835</v>
      </c>
      <c r="AC97" s="63">
        <f>('Prediction Results (Transposed)'!K$3*$B$5*$B$8 + 'Prediction Results (Transposed)'!K$4*$B$6*$B$9+ 'Prediction Results (Transposed)'!K$5*$B$7*$B$10) * (AC40*AC78) * AC21/AC59 * 1/$B$14</f>
        <v>119879736858.73506</v>
      </c>
      <c r="AD97" s="63">
        <f>('Prediction Results (Transposed)'!L$3*$B$5*$B$8 + 'Prediction Results (Transposed)'!L$4*$B$6*$B$9+ 'Prediction Results (Transposed)'!L$5*$B$7*$B$10) * (AD40*AD78) * AD21/AD59 * 1/$B$14</f>
        <v>5364203004.2556314</v>
      </c>
      <c r="AE97" s="63">
        <f>('Prediction Results (Transposed)'!M$3*$B$5*$B$8 + 'Prediction Results (Transposed)'!M$4*$B$6*$B$9+ 'Prediction Results (Transposed)'!M$5*$B$7*$B$10) * (AE40*AE78) * AE21/AE59 * 1/$B$14</f>
        <v>859990070.45177948</v>
      </c>
      <c r="AF97" s="63">
        <f>('Prediction Results (Transposed)'!N$3*$B$5*$B$8 + 'Prediction Results (Transposed)'!N$4*$B$6*$B$9+ 'Prediction Results (Transposed)'!N$5*$B$7*$B$10) * (AF40*AF78) * AF21/AF59 * 1/$B$14</f>
        <v>2599971856.9800038</v>
      </c>
      <c r="AG97" s="63">
        <f>('Prediction Results (Transposed)'!O$3*$B$5*$B$8 + 'Prediction Results (Transposed)'!O$4*$B$6*$B$9+ 'Prediction Results (Transposed)'!O$5*$B$7*$B$10) * (AG40*AG78) * AG21/AG59 * 1/$B$14</f>
        <v>2246639842.8948064</v>
      </c>
    </row>
    <row r="98" spans="1:33">
      <c r="A98" s="205"/>
      <c r="B98" s="205"/>
      <c r="C98" s="210" t="s">
        <v>88</v>
      </c>
      <c r="D98" s="264" t="s">
        <v>248</v>
      </c>
      <c r="E98" s="264"/>
      <c r="F98" s="264"/>
      <c r="G98" s="264"/>
      <c r="H98" s="264"/>
      <c r="I98" s="265"/>
      <c r="K98" s="210" t="s">
        <v>88</v>
      </c>
      <c r="L98" s="264" t="s">
        <v>248</v>
      </c>
      <c r="M98" s="264"/>
      <c r="N98" s="264"/>
      <c r="O98" s="264"/>
      <c r="P98" s="264"/>
      <c r="Q98" s="265"/>
      <c r="S98" s="210" t="s">
        <v>88</v>
      </c>
      <c r="T98" s="272" t="s">
        <v>248</v>
      </c>
      <c r="U98" s="272"/>
      <c r="V98" s="272"/>
      <c r="W98" s="272"/>
      <c r="X98" s="272"/>
      <c r="Y98" s="272"/>
      <c r="AA98" s="210" t="s">
        <v>88</v>
      </c>
      <c r="AB98" s="265" t="s">
        <v>248</v>
      </c>
      <c r="AC98" s="272"/>
      <c r="AD98" s="272"/>
      <c r="AE98" s="272"/>
      <c r="AF98" s="272"/>
      <c r="AG98" s="272"/>
    </row>
    <row r="99" spans="1:33">
      <c r="A99" s="256"/>
      <c r="B99" s="257"/>
      <c r="C99" s="193">
        <v>2020</v>
      </c>
      <c r="D99" s="63">
        <f>('Demographic-Economic'!B$14+'Demographic-Economic'!B$15+'Demographic-Economic'!B$16)*1000*(1+'Inflation-Interest'!$B$58)*(1+'Inflation-Interest'!$B$59)*(1+'Inflation-Interest'!$B$60)* ('Prediction Results (Transposed)'!J$3*($B$8/12)*$B$5+ 'Prediction Results (Transposed)'!J$4*($B$9/12)*$B$6+ 'Prediction Results (Transposed)'!J$5*($B$10/12)*$B$7)*D4/D42*(1+$B$15)^($C99-$C$99)*1/$B$14</f>
        <v>80878825.222779036</v>
      </c>
      <c r="E99" s="63">
        <f>('Demographic-Economic'!C$14+'Demographic-Economic'!C$15+'Demographic-Economic'!C$16)*1000*(1+'Inflation-Interest'!$B$58)*(1+'Inflation-Interest'!$B$59)*(1+'Inflation-Interest'!$B$60)* ('Prediction Results (Transposed)'!K$3*($B$8/12)*$B$5+ 'Prediction Results (Transposed)'!K$4*($B$9/12)*$B$6+ 'Prediction Results (Transposed)'!K$5*($B$10/12)*$B$7)*E4/E42*(1+$B$15)^($C99-$C$99)*1/$B$14</f>
        <v>103902026.28162192</v>
      </c>
      <c r="F99" s="63">
        <f>('Demographic-Economic'!D$14+'Demographic-Economic'!D$15+'Demographic-Economic'!D$16)*1000*(1+'Inflation-Interest'!$B$58)*(1+'Inflation-Interest'!$B$59)*(1+'Inflation-Interest'!$B$60)* ('Prediction Results (Transposed)'!L$3*($B$8/12)*$B$5+ 'Prediction Results (Transposed)'!L$4*($B$9/12)*$B$6+ 'Prediction Results (Transposed)'!L$5*($B$10/12)*$B$7)*F4/F42*(1+$B$15)^($C99-$C$99)*1/$B$14</f>
        <v>5160080.9187419061</v>
      </c>
      <c r="G99" s="63">
        <f>('Demographic-Economic'!E$14+'Demographic-Economic'!E$15+'Demographic-Economic'!E$16)*1000*(1+'Inflation-Interest'!$B$58)*(1+'Inflation-Interest'!$B$59)*(1+'Inflation-Interest'!$B$60)* ('Prediction Results (Transposed)'!M$3*($B$8/12)*$B$5+ 'Prediction Results (Transposed)'!M$4*($B$9/12)*$B$6+ 'Prediction Results (Transposed)'!M$5*($B$10/12)*$B$7)*G4/G42*(1+$B$15)^($C99-$C$99)*1/$B$14</f>
        <v>611578.55014335678</v>
      </c>
      <c r="H99" s="63">
        <f>('Demographic-Economic'!F$14+'Demographic-Economic'!F$15+'Demographic-Economic'!F$16)*1000*(1+'Inflation-Interest'!$B$58)*(1+'Inflation-Interest'!$B$59)*(1+'Inflation-Interest'!$B$60)* ('Prediction Results (Transposed)'!N$3*($B$8/12)*$B$5+ 'Prediction Results (Transposed)'!N$4*($B$9/12)*$B$6+ 'Prediction Results (Transposed)'!N$5*($B$10/12)*$B$7)*H4/H42*(1+$B$15)^($C99-$C$99)*1/$B$14</f>
        <v>1874391.0379006553</v>
      </c>
      <c r="I99" s="63">
        <f>('Demographic-Economic'!G$14+'Demographic-Economic'!G$15+'Demographic-Economic'!G$16)*1000*(1+'Inflation-Interest'!$B$58)*(1+'Inflation-Interest'!$B$59)*(1+'Inflation-Interest'!$B$60)* ('Prediction Results (Transposed)'!O$3*($B$8/12)*$B$5+ 'Prediction Results (Transposed)'!O$4*($B$9/12)*$B$6+ 'Prediction Results (Transposed)'!O$5*($B$10/12)*$B$7)*I4/I42*(1+$B$15)^($C99-$C$99)*1/$B$14</f>
        <v>467113.24368319404</v>
      </c>
      <c r="K99" s="193">
        <v>2020</v>
      </c>
      <c r="L99" s="63">
        <f>('Demographic-Economic'!B$14+'Demographic-Economic'!B$15+'Demographic-Economic'!B$16)*1000*(1+'Inflation-Interest'!$B$58)*(1+'Inflation-Interest'!$B$59)*(1+'Inflation-Interest'!$B$60)* ('Prediction Results (Transposed)'!J$3*($B$8/12)*$B$5+ 'Prediction Results (Transposed)'!J$4*($B$9/12)*$B$6+ 'Prediction Results (Transposed)'!J$5*($B$10/12)*$B$7)*L4/L42*(1+$B$15)^($K99-$K$99) * 1/$B$14</f>
        <v>80878825.222779036</v>
      </c>
      <c r="M99" s="63">
        <f>('Demographic-Economic'!C$14+'Demographic-Economic'!C$15+'Demographic-Economic'!C$16)*1000*(1+'Inflation-Interest'!$B$58)*(1+'Inflation-Interest'!$B$59)*(1+'Inflation-Interest'!$B$60)* ('Prediction Results (Transposed)'!K$3*($B$8/12)*$B$5+ 'Prediction Results (Transposed)'!K$4*($B$9/12)*$B$6+ 'Prediction Results (Transposed)'!K$5*($B$10/12)*$B$7)*M4/M42*(1+$B$15)^($K99-$K$99) * 1/$B$14</f>
        <v>103902026.28162192</v>
      </c>
      <c r="N99" s="63">
        <f>('Demographic-Economic'!D$14+'Demographic-Economic'!D$15+'Demographic-Economic'!D$16)*1000*(1+'Inflation-Interest'!$B$58)*(1+'Inflation-Interest'!$B$59)*(1+'Inflation-Interest'!$B$60)* ('Prediction Results (Transposed)'!L$3*($B$8/12)*$B$5+ 'Prediction Results (Transposed)'!L$4*($B$9/12)*$B$6+ 'Prediction Results (Transposed)'!L$5*($B$10/12)*$B$7)*N4/N42*(1+$B$15)^($K99-$K$99) * 1/$B$14</f>
        <v>5160080.9187419061</v>
      </c>
      <c r="O99" s="63">
        <f>('Demographic-Economic'!E$14+'Demographic-Economic'!E$15+'Demographic-Economic'!E$16)*1000*(1+'Inflation-Interest'!$B$58)*(1+'Inflation-Interest'!$B$59)*(1+'Inflation-Interest'!$B$60)* ('Prediction Results (Transposed)'!M$3*($B$8/12)*$B$5+ 'Prediction Results (Transposed)'!M$4*($B$9/12)*$B$6+ 'Prediction Results (Transposed)'!M$5*($B$10/12)*$B$7)*O4/O42*(1+$B$15)^($K99-$K$99) * 1/$B$14</f>
        <v>611578.55014335678</v>
      </c>
      <c r="P99" s="63">
        <f>('Demographic-Economic'!F$14+'Demographic-Economic'!F$15+'Demographic-Economic'!F$16)*1000*(1+'Inflation-Interest'!$B$58)*(1+'Inflation-Interest'!$B$59)*(1+'Inflation-Interest'!$B$60)* ('Prediction Results (Transposed)'!N$3*($B$8/12)*$B$5+ 'Prediction Results (Transposed)'!N$4*($B$9/12)*$B$6+ 'Prediction Results (Transposed)'!N$5*($B$10/12)*$B$7)*P4/P42*(1+$B$15)^($K99-$K$99) * 1/$B$14</f>
        <v>1874391.0379006553</v>
      </c>
      <c r="Q99" s="63">
        <f>('Demographic-Economic'!G$14+'Demographic-Economic'!G$15+'Demographic-Economic'!G$16)*1000*(1+'Inflation-Interest'!$B$58)*(1+'Inflation-Interest'!$B$59)*(1+'Inflation-Interest'!$B$60)* ('Prediction Results (Transposed)'!O$3*($B$8/12)*$B$5+ 'Prediction Results (Transposed)'!O$4*($B$9/12)*$B$6+ 'Prediction Results (Transposed)'!O$5*($B$10/12)*$B$7)*Q4/Q42*(1+$B$15)^($K99-$K$99) * 1/$B$14</f>
        <v>467113.24368319404</v>
      </c>
      <c r="S99" s="193">
        <v>2020</v>
      </c>
      <c r="T99" s="63">
        <f>('Demographic-Economic'!B$14+'Demographic-Economic'!B$15+'Demographic-Economic'!B$16)*1000*(1+'Inflation-Interest'!$B$58)*(1+'Inflation-Interest'!$B$59)*(1+'Inflation-Interest'!$B$60)* ('Prediction Results (Transposed)'!J$3*($B$8/12*$B$5)+ 'Prediction Results (Transposed)'!J$4*($B$9/12*$B$6)+ 'Prediction Results (Transposed)'!J$5*($B$10/12*$B$7))*T4/T42*(1+$B$15)^($S99-$S$99) * 1/$B$14</f>
        <v>80878825.222779036</v>
      </c>
      <c r="U99" s="63">
        <f>('Demographic-Economic'!C$14+'Demographic-Economic'!C$15+'Demographic-Economic'!C$16)*1000*(1+'Inflation-Interest'!$B$58)*(1+'Inflation-Interest'!$B$59)*(1+'Inflation-Interest'!$B$60)* ('Prediction Results (Transposed)'!K$3*($B$8/12*$B$5)+ 'Prediction Results (Transposed)'!K$4*($B$9/12*$B$6)+ 'Prediction Results (Transposed)'!K$5*($B$10/12*$B$7))*U4/U42*(1+$B$15)^($S99-$S$99) * 1/$B$14</f>
        <v>103902026.28162192</v>
      </c>
      <c r="V99" s="63">
        <f>('Demographic-Economic'!D$14+'Demographic-Economic'!D$15+'Demographic-Economic'!D$16)*1000*(1+'Inflation-Interest'!$B$58)*(1+'Inflation-Interest'!$B$59)*(1+'Inflation-Interest'!$B$60)* ('Prediction Results (Transposed)'!L$3*($B$8/12*$B$5)+ 'Prediction Results (Transposed)'!L$4*($B$9/12*$B$6)+ 'Prediction Results (Transposed)'!L$5*($B$10/12*$B$7))*V4/V42*(1+$B$15)^($S99-$S$99) * 1/$B$14</f>
        <v>5160080.9187419061</v>
      </c>
      <c r="W99" s="63">
        <f>('Demographic-Economic'!E$14+'Demographic-Economic'!E$15+'Demographic-Economic'!E$16)*1000*(1+'Inflation-Interest'!$B$58)*(1+'Inflation-Interest'!$B$59)*(1+'Inflation-Interest'!$B$60)* ('Prediction Results (Transposed)'!M$3*($B$8/12*$B$5)+ 'Prediction Results (Transposed)'!M$4*($B$9/12*$B$6)+ 'Prediction Results (Transposed)'!M$5*($B$10/12*$B$7))*W4/W42*(1+$B$15)^($S99-$S$99) * 1/$B$14</f>
        <v>611578.55014335678</v>
      </c>
      <c r="X99" s="63">
        <f>('Demographic-Economic'!F$14+'Demographic-Economic'!F$15+'Demographic-Economic'!F$16)*1000*(1+'Inflation-Interest'!$B$58)*(1+'Inflation-Interest'!$B$59)*(1+'Inflation-Interest'!$B$60)* ('Prediction Results (Transposed)'!N$3*($B$8/12*$B$5)+ 'Prediction Results (Transposed)'!N$4*($B$9/12*$B$6)+ 'Prediction Results (Transposed)'!N$5*($B$10/12*$B$7))*X4/X42*(1+$B$15)^($S99-$S$99) * 1/$B$14</f>
        <v>1874391.0379006553</v>
      </c>
      <c r="Y99" s="63">
        <f>('Demographic-Economic'!G$14+'Demographic-Economic'!G$15+'Demographic-Economic'!G$16)*1000*(1+'Inflation-Interest'!$B$58)*(1+'Inflation-Interest'!$B$59)*(1+'Inflation-Interest'!$B$60)* ('Prediction Results (Transposed)'!O$3*($B$8/12*$B$5)+ 'Prediction Results (Transposed)'!O$4*($B$9/12*$B$6)+ 'Prediction Results (Transposed)'!O$5*($B$10/12*$B$7))*Y4/Y42*(1+$B$15)^($S99-$S$99) * 1/$B$14</f>
        <v>467113.24368319404</v>
      </c>
      <c r="AA99" s="193">
        <v>2020</v>
      </c>
      <c r="AB99" s="63">
        <f>('Demographic-Economic'!B$14+'Demographic-Economic'!B$15+'Demographic-Economic'!B$16)*1000*(1+'Inflation-Interest'!$B$58)*(1+'Inflation-Interest'!$B$59)*(1+'Inflation-Interest'!$B$60)* ('Prediction Results (Transposed)'!J$3*($B$8/12*$B$5)+ 'Prediction Results (Transposed)'!J$4*($B$9/12*$B$6)+ 'Prediction Results (Transposed)'!J$5*($B$10/12*$B$7))*AB4/AB42*(1+$B$15)^($AA99-$AA$99)*1/$B$14</f>
        <v>80878825.222779036</v>
      </c>
      <c r="AC99" s="63">
        <f>('Demographic-Economic'!C$14+'Demographic-Economic'!C$15+'Demographic-Economic'!C$16)*1000*(1+'Inflation-Interest'!$B$58)*(1+'Inflation-Interest'!$B$59)*(1+'Inflation-Interest'!$B$60)* ('Prediction Results (Transposed)'!K$3*($B$8/12*$B$5)+ 'Prediction Results (Transposed)'!K$4*($B$9/12*$B$6)+ 'Prediction Results (Transposed)'!K$5*($B$10/12*$B$7))*AC4/AC42*(1+$B$15)^($AA99-$AA$99)*1/$B$14</f>
        <v>103902026.28162192</v>
      </c>
      <c r="AD99" s="63">
        <f>('Demographic-Economic'!D$14+'Demographic-Economic'!D$15+'Demographic-Economic'!D$16)*1000*(1+'Inflation-Interest'!$B$58)*(1+'Inflation-Interest'!$B$59)*(1+'Inflation-Interest'!$B$60)* ('Prediction Results (Transposed)'!L$3*($B$8/12*$B$5)+ 'Prediction Results (Transposed)'!L$4*($B$9/12*$B$6)+ 'Prediction Results (Transposed)'!L$5*($B$10/12*$B$7))*AD4/AD42*(1+$B$15)^($AA99-$AA$99)*1/$B$14</f>
        <v>5160080.9187419061</v>
      </c>
      <c r="AE99" s="63">
        <f>('Demographic-Economic'!E$14+'Demographic-Economic'!E$15+'Demographic-Economic'!E$16)*1000*(1+'Inflation-Interest'!$B$58)*(1+'Inflation-Interest'!$B$59)*(1+'Inflation-Interest'!$B$60)* ('Prediction Results (Transposed)'!M$3*($B$8/12*$B$5)+ 'Prediction Results (Transposed)'!M$4*($B$9/12*$B$6)+ 'Prediction Results (Transposed)'!M$5*($B$10/12*$B$7))*AE4/AE42*(1+$B$15)^($AA99-$AA$99)*1/$B$14</f>
        <v>611578.55014335678</v>
      </c>
      <c r="AF99" s="63">
        <f>('Demographic-Economic'!F$14+'Demographic-Economic'!F$15+'Demographic-Economic'!F$16)*1000*(1+'Inflation-Interest'!$B$58)*(1+'Inflation-Interest'!$B$59)*(1+'Inflation-Interest'!$B$60)* ('Prediction Results (Transposed)'!N$3*($B$8/12*$B$5)+ 'Prediction Results (Transposed)'!N$4*($B$9/12*$B$6)+ 'Prediction Results (Transposed)'!N$5*($B$10/12*$B$7))*AF4/AF42*(1+$B$15)^($AA99-$AA$99)*1/$B$14</f>
        <v>1874391.0379006553</v>
      </c>
      <c r="AG99" s="63">
        <f>('Demographic-Economic'!G$14+'Demographic-Economic'!G$15+'Demographic-Economic'!G$16)*1000*(1+'Inflation-Interest'!$B$58)*(1+'Inflation-Interest'!$B$59)*(1+'Inflation-Interest'!$B$60)* ('Prediction Results (Transposed)'!O$3*($B$8/12*$B$5)+ 'Prediction Results (Transposed)'!O$4*($B$9/12*$B$6)+ 'Prediction Results (Transposed)'!O$5*($B$10/12*$B$7))*AG4/AG42*(1+$B$15)^($AA99-$AA$99)*1/$B$14</f>
        <v>467113.24368319404</v>
      </c>
    </row>
    <row r="100" spans="1:33">
      <c r="A100" s="256"/>
      <c r="B100" s="257"/>
      <c r="C100" s="193">
        <v>2021</v>
      </c>
      <c r="D100" s="63">
        <f>('Demographic-Economic'!B$14+'Demographic-Economic'!B$15+'Demographic-Economic'!B$16)*1000*(1+'Inflation-Interest'!$B$58)*(1+'Inflation-Interest'!$B$59)*(1+'Inflation-Interest'!$B$60)* ('Prediction Results (Transposed)'!J$3*($B$8/12)*$B$5+ 'Prediction Results (Transposed)'!J$4*($B$9/12)*$B$6+ 'Prediction Results (Transposed)'!J$5*($B$10/12)*$B$7)*D5/D43*(1+$B$15)^($C100-$C$99)*1/$B$14</f>
        <v>85752568.160169959</v>
      </c>
      <c r="E100" s="63">
        <f>('Demographic-Economic'!C$14+'Demographic-Economic'!C$15+'Demographic-Economic'!C$16)*1000*(1+'Inflation-Interest'!$B$58)*(1+'Inflation-Interest'!$B$59)*(1+'Inflation-Interest'!$B$60)* ('Prediction Results (Transposed)'!K$3*($B$8/12)*$B$5+ 'Prediction Results (Transposed)'!K$4*($B$9/12)*$B$6+ 'Prediction Results (Transposed)'!K$5*($B$10/12)*$B$7)*E5/E43*(1+$B$15)^($C100-$C$99)*1/$B$14</f>
        <v>110163143.02479687</v>
      </c>
      <c r="F100" s="63">
        <f>('Demographic-Economic'!D$14+'Demographic-Economic'!D$15+'Demographic-Economic'!D$16)*1000*(1+'Inflation-Interest'!$B$58)*(1+'Inflation-Interest'!$B$59)*(1+'Inflation-Interest'!$B$60)* ('Prediction Results (Transposed)'!L$3*($B$8/12)*$B$5+ 'Prediction Results (Transposed)'!L$4*($B$9/12)*$B$6+ 'Prediction Results (Transposed)'!L$5*($B$10/12)*$B$7)*F5/F43*(1+$B$15)^($C100-$C$99)*1/$B$14</f>
        <v>5471026.433403031</v>
      </c>
      <c r="G100" s="63">
        <f>('Demographic-Economic'!E$14+'Demographic-Economic'!E$15+'Demographic-Economic'!E$16)*1000*(1+'Inflation-Interest'!$B$58)*(1+'Inflation-Interest'!$B$59)*(1+'Inflation-Interest'!$B$60)* ('Prediction Results (Transposed)'!M$3*($B$8/12)*$B$5+ 'Prediction Results (Transposed)'!M$4*($B$9/12)*$B$6+ 'Prediction Results (Transposed)'!M$5*($B$10/12)*$B$7)*G5/G43*(1+$B$15)^($C100-$C$99)*1/$B$14</f>
        <v>648432.15961667395</v>
      </c>
      <c r="H100" s="63">
        <f>('Demographic-Economic'!F$14+'Demographic-Economic'!F$15+'Demographic-Economic'!F$16)*1000*(1+'Inflation-Interest'!$B$58)*(1+'Inflation-Interest'!$B$59)*(1+'Inflation-Interest'!$B$60)* ('Prediction Results (Transposed)'!N$3*($B$8/12)*$B$5+ 'Prediction Results (Transposed)'!N$4*($B$9/12)*$B$6+ 'Prediction Results (Transposed)'!N$5*($B$10/12)*$B$7)*H5/H43*(1+$B$15)^($C100-$C$99)*1/$B$14</f>
        <v>1987341.4925804085</v>
      </c>
      <c r="I100" s="63">
        <f>('Demographic-Economic'!G$14+'Demographic-Economic'!G$15+'Demographic-Economic'!G$16)*1000*(1+'Inflation-Interest'!$B$58)*(1+'Inflation-Interest'!$B$59)*(1+'Inflation-Interest'!$B$60)* ('Prediction Results (Transposed)'!O$3*($B$8/12)*$B$5+ 'Prediction Results (Transposed)'!O$4*($B$9/12)*$B$6+ 'Prediction Results (Transposed)'!O$5*($B$10/12)*$B$7)*I5/I43*(1+$B$15)^($C100-$C$99)*1/$B$14</f>
        <v>495261.40070812503</v>
      </c>
      <c r="K100" s="193">
        <v>2021</v>
      </c>
      <c r="L100" s="63">
        <f>('Demographic-Economic'!B$14+'Demographic-Economic'!B$15+'Demographic-Economic'!B$16)*1000*(1+'Inflation-Interest'!$B$58)*(1+'Inflation-Interest'!$B$59)*(1+'Inflation-Interest'!$B$60)* ('Prediction Results (Transposed)'!J$3*($B$8/12)*$B$5+ 'Prediction Results (Transposed)'!J$4*($B$9/12)*$B$6+ 'Prediction Results (Transposed)'!J$5*($B$10/12)*$B$7)*L5/L43*(1+$B$15)^($K100-$K$99) * 1/$B$14</f>
        <v>85999767.469761238</v>
      </c>
      <c r="M100" s="63">
        <f>('Demographic-Economic'!C$14+'Demographic-Economic'!C$15+'Demographic-Economic'!C$16)*1000*(1+'Inflation-Interest'!$B$58)*(1+'Inflation-Interest'!$B$59)*(1+'Inflation-Interest'!$B$60)* ('Prediction Results (Transposed)'!K$3*($B$8/12)*$B$5+ 'Prediction Results (Transposed)'!K$4*($B$9/12)*$B$6+ 'Prediction Results (Transposed)'!K$5*($B$10/12)*$B$7)*M5/M43*(1+$B$15)^($K100-$K$99) * 1/$B$14</f>
        <v>110480710.80710828</v>
      </c>
      <c r="N100" s="63">
        <f>('Demographic-Economic'!D$14+'Demographic-Economic'!D$15+'Demographic-Economic'!D$16)*1000*(1+'Inflation-Interest'!$B$58)*(1+'Inflation-Interest'!$B$59)*(1+'Inflation-Interest'!$B$60)* ('Prediction Results (Transposed)'!L$3*($B$8/12)*$B$5+ 'Prediction Results (Transposed)'!L$4*($B$9/12)*$B$6+ 'Prediction Results (Transposed)'!L$5*($B$10/12)*$B$7)*N5/N43*(1+$B$15)^($K100-$K$99) * 1/$B$14</f>
        <v>5486797.7856331654</v>
      </c>
      <c r="O100" s="63">
        <f>('Demographic-Economic'!E$14+'Demographic-Economic'!E$15+'Demographic-Economic'!E$16)*1000*(1+'Inflation-Interest'!$B$58)*(1+'Inflation-Interest'!$B$59)*(1+'Inflation-Interest'!$B$60)* ('Prediction Results (Transposed)'!M$3*($B$8/12)*$B$5+ 'Prediction Results (Transposed)'!M$4*($B$9/12)*$B$6+ 'Prediction Results (Transposed)'!M$5*($B$10/12)*$B$7)*O5/O43*(1+$B$15)^($K100-$K$99) * 1/$B$14</f>
        <v>650301.39788688673</v>
      </c>
      <c r="P100" s="63">
        <f>('Demographic-Economic'!F$14+'Demographic-Economic'!F$15+'Demographic-Economic'!F$16)*1000*(1+'Inflation-Interest'!$B$58)*(1+'Inflation-Interest'!$B$59)*(1+'Inflation-Interest'!$B$60)* ('Prediction Results (Transposed)'!N$3*($B$8/12)*$B$5+ 'Prediction Results (Transposed)'!N$4*($B$9/12)*$B$6+ 'Prediction Results (Transposed)'!N$5*($B$10/12)*$B$7)*P5/P43*(1+$B$15)^($K100-$K$99) * 1/$B$14</f>
        <v>1993070.4107391082</v>
      </c>
      <c r="Q100" s="63">
        <f>('Demographic-Economic'!G$14+'Demographic-Economic'!G$15+'Demographic-Economic'!G$16)*1000*(1+'Inflation-Interest'!$B$58)*(1+'Inflation-Interest'!$B$59)*(1+'Inflation-Interest'!$B$60)* ('Prediction Results (Transposed)'!O$3*($B$8/12)*$B$5+ 'Prediction Results (Transposed)'!O$4*($B$9/12)*$B$6+ 'Prediction Results (Transposed)'!O$5*($B$10/12)*$B$7)*Q5/Q43*(1+$B$15)^($K100-$K$99) * 1/$B$14</f>
        <v>496689.09295045614</v>
      </c>
      <c r="S100" s="193">
        <v>2021</v>
      </c>
      <c r="T100" s="63">
        <f>('Demographic-Economic'!B$14+'Demographic-Economic'!B$15+'Demographic-Economic'!B$16)*1000*(1+'Inflation-Interest'!$B$58)*(1+'Inflation-Interest'!$B$59)*(1+'Inflation-Interest'!$B$60)* ('Prediction Results (Transposed)'!J$3*($B$8/12*$B$5)+ 'Prediction Results (Transposed)'!J$4*($B$9/12*$B$6)+ 'Prediction Results (Transposed)'!J$5*($B$10/12*$B$7))*T5/T43*(1+$B$15)^($S100-$S$99) * 1/$B$14</f>
        <v>86564596.348393753</v>
      </c>
      <c r="U100" s="63">
        <f>('Demographic-Economic'!C$14+'Demographic-Economic'!C$15+'Demographic-Economic'!C$16)*1000*(1+'Inflation-Interest'!$B$58)*(1+'Inflation-Interest'!$B$59)*(1+'Inflation-Interest'!$B$60)* ('Prediction Results (Transposed)'!K$3*($B$8/12*$B$5)+ 'Prediction Results (Transposed)'!K$4*($B$9/12*$B$6)+ 'Prediction Results (Transposed)'!K$5*($B$10/12*$B$7))*U5/U43*(1+$B$15)^($S100-$S$99) * 1/$B$14</f>
        <v>111206325.51319042</v>
      </c>
      <c r="V100" s="63">
        <f>('Demographic-Economic'!D$14+'Demographic-Economic'!D$15+'Demographic-Economic'!D$16)*1000*(1+'Inflation-Interest'!$B$58)*(1+'Inflation-Interest'!$B$59)*(1+'Inflation-Interest'!$B$60)* ('Prediction Results (Transposed)'!L$3*($B$8/12*$B$5)+ 'Prediction Results (Transposed)'!L$4*($B$9/12*$B$6)+ 'Prediction Results (Transposed)'!L$5*($B$10/12*$B$7))*V5/V43*(1+$B$15)^($S100-$S$99) * 1/$B$14</f>
        <v>5522833.9509824766</v>
      </c>
      <c r="W100" s="63">
        <f>('Demographic-Economic'!E$14+'Demographic-Economic'!E$15+'Demographic-Economic'!E$16)*1000*(1+'Inflation-Interest'!$B$58)*(1+'Inflation-Interest'!$B$59)*(1+'Inflation-Interest'!$B$60)* ('Prediction Results (Transposed)'!M$3*($B$8/12*$B$5)+ 'Prediction Results (Transposed)'!M$4*($B$9/12*$B$6)+ 'Prediction Results (Transposed)'!M$5*($B$10/12*$B$7))*W5/W43*(1+$B$15)^($S100-$S$99) * 1/$B$14</f>
        <v>654572.44442745729</v>
      </c>
      <c r="X100" s="63">
        <f>('Demographic-Economic'!F$14+'Demographic-Economic'!F$15+'Demographic-Economic'!F$16)*1000*(1+'Inflation-Interest'!$B$58)*(1+'Inflation-Interest'!$B$59)*(1+'Inflation-Interest'!$B$60)* ('Prediction Results (Transposed)'!N$3*($B$8/12*$B$5)+ 'Prediction Results (Transposed)'!N$4*($B$9/12*$B$6)+ 'Prediction Results (Transposed)'!N$5*($B$10/12*$B$7))*X5/X43*(1+$B$15)^($S100-$S$99) * 1/$B$14</f>
        <v>2006160.4894480915</v>
      </c>
      <c r="Y100" s="63">
        <f>('Demographic-Economic'!G$14+'Demographic-Economic'!G$15+'Demographic-Economic'!G$16)*1000*(1+'Inflation-Interest'!$B$58)*(1+'Inflation-Interest'!$B$59)*(1+'Inflation-Interest'!$B$60)* ('Prediction Results (Transposed)'!O$3*($B$8/12*$B$5)+ 'Prediction Results (Transposed)'!O$4*($B$9/12*$B$6)+ 'Prediction Results (Transposed)'!O$5*($B$10/12*$B$7))*Y5/Y43*(1+$B$15)^($S100-$S$99) * 1/$B$14</f>
        <v>499951.24529870361</v>
      </c>
      <c r="AA100" s="193">
        <v>2021</v>
      </c>
      <c r="AB100" s="63">
        <f>('Demographic-Economic'!B$14+'Demographic-Economic'!B$15+'Demographic-Economic'!B$16)*1000*(1+'Inflation-Interest'!$B$58)*(1+'Inflation-Interest'!$B$59)*(1+'Inflation-Interest'!$B$60)* ('Prediction Results (Transposed)'!J$3*($B$8/12*$B$5)+ 'Prediction Results (Transposed)'!J$4*($B$9/12*$B$6)+ 'Prediction Results (Transposed)'!J$5*($B$10/12*$B$7))*AB5/AB43*(1+$B$15)^($AA100-$AA$99)*1/$B$14</f>
        <v>86920368.062969089</v>
      </c>
      <c r="AC100" s="63">
        <f>('Demographic-Economic'!C$14+'Demographic-Economic'!C$15+'Demographic-Economic'!C$16)*1000*(1+'Inflation-Interest'!$B$58)*(1+'Inflation-Interest'!$B$59)*(1+'Inflation-Interest'!$B$60)* ('Prediction Results (Transposed)'!K$3*($B$8/12*$B$5)+ 'Prediction Results (Transposed)'!K$4*($B$9/12*$B$6)+ 'Prediction Results (Transposed)'!K$5*($B$10/12*$B$7))*AC5/AC43*(1+$B$15)^($AA100-$AA$99)*1/$B$14</f>
        <v>111663372.23631288</v>
      </c>
      <c r="AD100" s="63">
        <f>('Demographic-Economic'!D$14+'Demographic-Economic'!D$15+'Demographic-Economic'!D$16)*1000*(1+'Inflation-Interest'!$B$58)*(1+'Inflation-Interest'!$B$59)*(1+'Inflation-Interest'!$B$60)* ('Prediction Results (Transposed)'!L$3*($B$8/12*$B$5)+ 'Prediction Results (Transposed)'!L$4*($B$9/12*$B$6)+ 'Prediction Results (Transposed)'!L$5*($B$10/12*$B$7))*AD5/AD43*(1+$B$15)^($AA100-$AA$99)*1/$B$14</f>
        <v>5545532.2385843517</v>
      </c>
      <c r="AE100" s="63">
        <f>('Demographic-Economic'!E$14+'Demographic-Economic'!E$15+'Demographic-Economic'!E$16)*1000*(1+'Inflation-Interest'!$B$58)*(1+'Inflation-Interest'!$B$59)*(1+'Inflation-Interest'!$B$60)* ('Prediction Results (Transposed)'!M$3*($B$8/12*$B$5)+ 'Prediction Results (Transposed)'!M$4*($B$9/12*$B$6)+ 'Prediction Results (Transposed)'!M$5*($B$10/12*$B$7))*AE5/AE43*(1+$B$15)^($AA100-$AA$99)*1/$B$14</f>
        <v>657262.67080973566</v>
      </c>
      <c r="AF100" s="63">
        <f>('Demographic-Economic'!F$14+'Demographic-Economic'!F$15+'Demographic-Economic'!F$16)*1000*(1+'Inflation-Interest'!$B$58)*(1+'Inflation-Interest'!$B$59)*(1+'Inflation-Interest'!$B$60)* ('Prediction Results (Transposed)'!N$3*($B$8/12*$B$5)+ 'Prediction Results (Transposed)'!N$4*($B$9/12*$B$6)+ 'Prediction Results (Transposed)'!N$5*($B$10/12*$B$7))*AF5/AF43*(1+$B$15)^($AA100-$AA$99)*1/$B$14</f>
        <v>2014405.6056636367</v>
      </c>
      <c r="AG100" s="63">
        <f>('Demographic-Economic'!G$14+'Demographic-Economic'!G$15+'Demographic-Economic'!G$16)*1000*(1+'Inflation-Interest'!$B$58)*(1+'Inflation-Interest'!$B$59)*(1+'Inflation-Interest'!$B$60)* ('Prediction Results (Transposed)'!O$3*($B$8/12*$B$5)+ 'Prediction Results (Transposed)'!O$4*($B$9/12*$B$6)+ 'Prediction Results (Transposed)'!O$5*($B$10/12*$B$7))*AG5/AG43*(1+$B$15)^($AA100-$AA$99)*1/$B$14</f>
        <v>502005.99422894919</v>
      </c>
    </row>
    <row r="101" spans="1:33">
      <c r="A101" s="256"/>
      <c r="B101" s="257"/>
      <c r="C101" s="193">
        <v>2022</v>
      </c>
      <c r="D101" s="63">
        <f>('Demographic-Economic'!B$14+'Demographic-Economic'!B$15+'Demographic-Economic'!B$16)*1000*(1+'Inflation-Interest'!$B$58)*(1+'Inflation-Interest'!$B$59)*(1+'Inflation-Interest'!$B$60)* ('Prediction Results (Transposed)'!J$3*($B$8/12)*$B$5+ 'Prediction Results (Transposed)'!J$4*($B$9/12)*$B$6+ 'Prediction Results (Transposed)'!J$5*($B$10/12)*$B$7)*D6/D44*(1+$B$15)^($C101-$C$99)*1/$B$14</f>
        <v>90898900.49413152</v>
      </c>
      <c r="E101" s="63">
        <f>('Demographic-Economic'!C$14+'Demographic-Economic'!C$15+'Demographic-Economic'!C$16)*1000*(1+'Inflation-Interest'!$B$58)*(1+'Inflation-Interest'!$B$59)*(1+'Inflation-Interest'!$B$60)* ('Prediction Results (Transposed)'!K$3*($B$8/12)*$B$5+ 'Prediction Results (Transposed)'!K$4*($B$9/12)*$B$6+ 'Prediction Results (Transposed)'!K$5*($B$10/12)*$B$7)*E6/E44*(1+$B$15)^($C101-$C$99)*1/$B$14</f>
        <v>116774445.2530918</v>
      </c>
      <c r="F101" s="63">
        <f>('Demographic-Economic'!D$14+'Demographic-Economic'!D$15+'Demographic-Economic'!D$16)*1000*(1+'Inflation-Interest'!$B$58)*(1+'Inflation-Interest'!$B$59)*(1+'Inflation-Interest'!$B$60)* ('Prediction Results (Transposed)'!L$3*($B$8/12)*$B$5+ 'Prediction Results (Transposed)'!L$4*($B$9/12)*$B$6+ 'Prediction Results (Transposed)'!L$5*($B$10/12)*$B$7)*F6/F44*(1+$B$15)^($C101-$C$99)*1/$B$14</f>
        <v>5799363.1915697455</v>
      </c>
      <c r="G101" s="63">
        <f>('Demographic-Economic'!E$14+'Demographic-Economic'!E$15+'Demographic-Economic'!E$16)*1000*(1+'Inflation-Interest'!$B$58)*(1+'Inflation-Interest'!$B$59)*(1+'Inflation-Interest'!$B$60)* ('Prediction Results (Transposed)'!M$3*($B$8/12)*$B$5+ 'Prediction Results (Transposed)'!M$4*($B$9/12)*$B$6+ 'Prediction Results (Transposed)'!M$5*($B$10/12)*$B$7)*G6/G44*(1+$B$15)^($C101-$C$99)*1/$B$14</f>
        <v>687346.99868228461</v>
      </c>
      <c r="H101" s="63">
        <f>('Demographic-Economic'!F$14+'Demographic-Economic'!F$15+'Demographic-Economic'!F$16)*1000*(1+'Inflation-Interest'!$B$58)*(1+'Inflation-Interest'!$B$59)*(1+'Inflation-Interest'!$B$60)* ('Prediction Results (Transposed)'!N$3*($B$8/12)*$B$5+ 'Prediction Results (Transposed)'!N$4*($B$9/12)*$B$6+ 'Prediction Results (Transposed)'!N$5*($B$10/12)*$B$7)*H6/H44*(1+$B$15)^($C101-$C$99)*1/$B$14</f>
        <v>2106609.2883015447</v>
      </c>
      <c r="I101" s="63">
        <f>('Demographic-Economic'!G$14+'Demographic-Economic'!G$15+'Demographic-Economic'!G$16)*1000*(1+'Inflation-Interest'!$B$58)*(1+'Inflation-Interest'!$B$59)*(1+'Inflation-Interest'!$B$60)* ('Prediction Results (Transposed)'!O$3*($B$8/12)*$B$5+ 'Prediction Results (Transposed)'!O$4*($B$9/12)*$B$6+ 'Prediction Results (Transposed)'!O$5*($B$10/12)*$B$7)*I6/I44*(1+$B$15)^($C101-$C$99)*1/$B$14</f>
        <v>524983.88966573472</v>
      </c>
      <c r="K101" s="193">
        <v>2022</v>
      </c>
      <c r="L101" s="63">
        <f>('Demographic-Economic'!B$14+'Demographic-Economic'!B$15+'Demographic-Economic'!B$16)*1000*(1+'Inflation-Interest'!$B$58)*(1+'Inflation-Interest'!$B$59)*(1+'Inflation-Interest'!$B$60)* ('Prediction Results (Transposed)'!J$3*($B$8/12)*$B$5+ 'Prediction Results (Transposed)'!J$4*($B$9/12)*$B$6+ 'Prediction Results (Transposed)'!J$5*($B$10/12)*$B$7)*L6/L44*(1+$B$15)^($K101-$K$99) * 1/$B$14</f>
        <v>91417749.52789785</v>
      </c>
      <c r="M101" s="63">
        <f>('Demographic-Economic'!C$14+'Demographic-Economic'!C$15+'Demographic-Economic'!C$16)*1000*(1+'Inflation-Interest'!$B$58)*(1+'Inflation-Interest'!$B$59)*(1+'Inflation-Interest'!$B$60)* ('Prediction Results (Transposed)'!K$3*($B$8/12)*$B$5+ 'Prediction Results (Transposed)'!K$4*($B$9/12)*$B$6+ 'Prediction Results (Transposed)'!K$5*($B$10/12)*$B$7)*M6/M44*(1+$B$15)^($K101-$K$99) * 1/$B$14</f>
        <v>117440991.35825703</v>
      </c>
      <c r="N101" s="63">
        <f>('Demographic-Economic'!D$14+'Demographic-Economic'!D$15+'Demographic-Economic'!D$16)*1000*(1+'Inflation-Interest'!$B$58)*(1+'Inflation-Interest'!$B$59)*(1+'Inflation-Interest'!$B$60)* ('Prediction Results (Transposed)'!L$3*($B$8/12)*$B$5+ 'Prediction Results (Transposed)'!L$4*($B$9/12)*$B$6+ 'Prediction Results (Transposed)'!L$5*($B$10/12)*$B$7)*N6/N44*(1+$B$15)^($K101-$K$99) * 1/$B$14</f>
        <v>5832465.8360687289</v>
      </c>
      <c r="O101" s="63">
        <f>('Demographic-Economic'!E$14+'Demographic-Economic'!E$15+'Demographic-Economic'!E$16)*1000*(1+'Inflation-Interest'!$B$58)*(1+'Inflation-Interest'!$B$59)*(1+'Inflation-Interest'!$B$60)* ('Prediction Results (Transposed)'!M$3*($B$8/12)*$B$5+ 'Prediction Results (Transposed)'!M$4*($B$9/12)*$B$6+ 'Prediction Results (Transposed)'!M$5*($B$10/12)*$B$7)*O6/O44*(1+$B$15)^($K101-$K$99) * 1/$B$14</f>
        <v>691270.36105729477</v>
      </c>
      <c r="P101" s="63">
        <f>('Demographic-Economic'!F$14+'Demographic-Economic'!F$15+'Demographic-Economic'!F$16)*1000*(1+'Inflation-Interest'!$B$58)*(1+'Inflation-Interest'!$B$59)*(1+'Inflation-Interest'!$B$60)* ('Prediction Results (Transposed)'!N$3*($B$8/12)*$B$5+ 'Prediction Results (Transposed)'!N$4*($B$9/12)*$B$6+ 'Prediction Results (Transposed)'!N$5*($B$10/12)*$B$7)*P6/P44*(1+$B$15)^($K101-$K$99) * 1/$B$14</f>
        <v>2118633.7703119619</v>
      </c>
      <c r="Q101" s="63">
        <f>('Demographic-Economic'!G$14+'Demographic-Economic'!G$15+'Demographic-Economic'!G$16)*1000*(1+'Inflation-Interest'!$B$58)*(1+'Inflation-Interest'!$B$59)*(1+'Inflation-Interest'!$B$60)* ('Prediction Results (Transposed)'!O$3*($B$8/12)*$B$5+ 'Prediction Results (Transposed)'!O$4*($B$9/12)*$B$6+ 'Prediction Results (Transposed)'!O$5*($B$10/12)*$B$7)*Q6/Q44*(1+$B$15)^($K101-$K$99) * 1/$B$14</f>
        <v>527980.48679084005</v>
      </c>
      <c r="S101" s="193">
        <v>2022</v>
      </c>
      <c r="T101" s="63">
        <f>('Demographic-Economic'!B$14+'Demographic-Economic'!B$15+'Demographic-Economic'!B$16)*1000*(1+'Inflation-Interest'!$B$58)*(1+'Inflation-Interest'!$B$59)*(1+'Inflation-Interest'!$B$60)* ('Prediction Results (Transposed)'!J$3*($B$8/12*$B$5)+ 'Prediction Results (Transposed)'!J$4*($B$9/12*$B$6)+ 'Prediction Results (Transposed)'!J$5*($B$10/12*$B$7))*T6/T44*(1+$B$15)^($S101-$S$99) * 1/$B$14</f>
        <v>92606002.311047122</v>
      </c>
      <c r="U101" s="63">
        <f>('Demographic-Economic'!C$14+'Demographic-Economic'!C$15+'Demographic-Economic'!C$16)*1000*(1+'Inflation-Interest'!$B$58)*(1+'Inflation-Interest'!$B$59)*(1+'Inflation-Interest'!$B$60)* ('Prediction Results (Transposed)'!K$3*($B$8/12*$B$5)+ 'Prediction Results (Transposed)'!K$4*($B$9/12*$B$6)+ 'Prediction Results (Transposed)'!K$5*($B$10/12*$B$7))*U6/U44*(1+$B$15)^($S101-$S$99) * 1/$B$14</f>
        <v>118967495.62638797</v>
      </c>
      <c r="V101" s="63">
        <f>('Demographic-Economic'!D$14+'Demographic-Economic'!D$15+'Demographic-Economic'!D$16)*1000*(1+'Inflation-Interest'!$B$58)*(1+'Inflation-Interest'!$B$59)*(1+'Inflation-Interest'!$B$60)* ('Prediction Results (Transposed)'!L$3*($B$8/12*$B$5)+ 'Prediction Results (Transposed)'!L$4*($B$9/12*$B$6)+ 'Prediction Results (Transposed)'!L$5*($B$10/12*$B$7))*V6/V44*(1+$B$15)^($S101-$S$99) * 1/$B$14</f>
        <v>5908276.5380179938</v>
      </c>
      <c r="W101" s="63">
        <f>('Demographic-Economic'!E$14+'Demographic-Economic'!E$15+'Demographic-Economic'!E$16)*1000*(1+'Inflation-Interest'!$B$58)*(1+'Inflation-Interest'!$B$59)*(1+'Inflation-Interest'!$B$60)* ('Prediction Results (Transposed)'!M$3*($B$8/12*$B$5)+ 'Prediction Results (Transposed)'!M$4*($B$9/12*$B$6)+ 'Prediction Results (Transposed)'!M$5*($B$10/12*$B$7))*W6/W44*(1+$B$15)^($S101-$S$99) * 1/$B$14</f>
        <v>700255.53007181175</v>
      </c>
      <c r="X101" s="63">
        <f>('Demographic-Economic'!F$14+'Demographic-Economic'!F$15+'Demographic-Economic'!F$16)*1000*(1+'Inflation-Interest'!$B$58)*(1+'Inflation-Interest'!$B$59)*(1+'Inflation-Interest'!$B$60)* ('Prediction Results (Transposed)'!N$3*($B$8/12*$B$5)+ 'Prediction Results (Transposed)'!N$4*($B$9/12*$B$6)+ 'Prediction Results (Transposed)'!N$5*($B$10/12*$B$7))*X6/X44*(1+$B$15)^($S101-$S$99) * 1/$B$14</f>
        <v>2146171.8850330976</v>
      </c>
      <c r="Y101" s="63">
        <f>('Demographic-Economic'!G$14+'Demographic-Economic'!G$15+'Demographic-Economic'!G$16)*1000*(1+'Inflation-Interest'!$B$58)*(1+'Inflation-Interest'!$B$59)*(1+'Inflation-Interest'!$B$60)* ('Prediction Results (Transposed)'!O$3*($B$8/12*$B$5)+ 'Prediction Results (Transposed)'!O$4*($B$9/12*$B$6)+ 'Prediction Results (Transposed)'!O$5*($B$10/12*$B$7))*Y6/Y44*(1+$B$15)^($S101-$S$99) * 1/$B$14</f>
        <v>534843.20531232678</v>
      </c>
      <c r="AA101" s="193">
        <v>2022</v>
      </c>
      <c r="AB101" s="63">
        <f>('Demographic-Economic'!B$14+'Demographic-Economic'!B$15+'Demographic-Economic'!B$16)*1000*(1+'Inflation-Interest'!$B$58)*(1+'Inflation-Interest'!$B$59)*(1+'Inflation-Interest'!$B$60)* ('Prediction Results (Transposed)'!J$3*($B$8/12*$B$5)+ 'Prediction Results (Transposed)'!J$4*($B$9/12*$B$6)+ 'Prediction Results (Transposed)'!J$5*($B$10/12*$B$7))*AB6/AB44*(1+$B$15)^($AA101-$AA$99)*1/$B$14</f>
        <v>93356388.178995267</v>
      </c>
      <c r="AC101" s="63">
        <f>('Demographic-Economic'!C$14+'Demographic-Economic'!C$15+'Demographic-Economic'!C$16)*1000*(1+'Inflation-Interest'!$B$58)*(1+'Inflation-Interest'!$B$59)*(1+'Inflation-Interest'!$B$60)* ('Prediction Results (Transposed)'!K$3*($B$8/12*$B$5)+ 'Prediction Results (Transposed)'!K$4*($B$9/12*$B$6)+ 'Prediction Results (Transposed)'!K$5*($B$10/12*$B$7))*AC6/AC44*(1+$B$15)^($AA101-$AA$99)*1/$B$14</f>
        <v>119931488.51276025</v>
      </c>
      <c r="AD101" s="63">
        <f>('Demographic-Economic'!D$14+'Demographic-Economic'!D$15+'Demographic-Economic'!D$16)*1000*(1+'Inflation-Interest'!$B$58)*(1+'Inflation-Interest'!$B$59)*(1+'Inflation-Interest'!$B$60)* ('Prediction Results (Transposed)'!L$3*($B$8/12*$B$5)+ 'Prediction Results (Transposed)'!L$4*($B$9/12*$B$6)+ 'Prediction Results (Transposed)'!L$5*($B$10/12*$B$7))*AD6/AD44*(1+$B$15)^($AA101-$AA$99)*1/$B$14</f>
        <v>5956151.2665174156</v>
      </c>
      <c r="AE101" s="63">
        <f>('Demographic-Economic'!E$14+'Demographic-Economic'!E$15+'Demographic-Economic'!E$16)*1000*(1+'Inflation-Interest'!$B$58)*(1+'Inflation-Interest'!$B$59)*(1+'Inflation-Interest'!$B$60)* ('Prediction Results (Transposed)'!M$3*($B$8/12*$B$5)+ 'Prediction Results (Transposed)'!M$4*($B$9/12*$B$6)+ 'Prediction Results (Transposed)'!M$5*($B$10/12*$B$7))*AE6/AE44*(1+$B$15)^($AA101-$AA$99)*1/$B$14</f>
        <v>705929.69633107318</v>
      </c>
      <c r="AF101" s="63">
        <f>('Demographic-Economic'!F$14+'Demographic-Economic'!F$15+'Demographic-Economic'!F$16)*1000*(1+'Inflation-Interest'!$B$58)*(1+'Inflation-Interest'!$B$59)*(1+'Inflation-Interest'!$B$60)* ('Prediction Results (Transposed)'!N$3*($B$8/12*$B$5)+ 'Prediction Results (Transposed)'!N$4*($B$9/12*$B$6)+ 'Prediction Results (Transposed)'!N$5*($B$10/12*$B$7))*AF6/AF44*(1+$B$15)^($AA101-$AA$99)*1/$B$14</f>
        <v>2163562.3026359137</v>
      </c>
      <c r="AG101" s="63">
        <f>('Demographic-Economic'!G$14+'Demographic-Economic'!G$15+'Demographic-Economic'!G$16)*1000*(1+'Inflation-Interest'!$B$58)*(1+'Inflation-Interest'!$B$59)*(1+'Inflation-Interest'!$B$60)* ('Prediction Results (Transposed)'!O$3*($B$8/12*$B$5)+ 'Prediction Results (Transposed)'!O$4*($B$9/12*$B$6)+ 'Prediction Results (Transposed)'!O$5*($B$10/12*$B$7))*AG6/AG44*(1+$B$15)^($AA101-$AA$99)*1/$B$14</f>
        <v>539177.03652001056</v>
      </c>
    </row>
    <row r="102" spans="1:33">
      <c r="A102" s="256"/>
      <c r="B102" s="257"/>
      <c r="C102" s="193">
        <v>2023</v>
      </c>
      <c r="D102" s="63">
        <f>('Demographic-Economic'!B$14+'Demographic-Economic'!B$15+'Demographic-Economic'!B$16)*1000*(1+'Inflation-Interest'!$B$58)*(1+'Inflation-Interest'!$B$59)*(1+'Inflation-Interest'!$B$60)* ('Prediction Results (Transposed)'!J$3*($B$8/12)*$B$5+ 'Prediction Results (Transposed)'!J$4*($B$9/12)*$B$6+ 'Prediction Results (Transposed)'!J$5*($B$10/12)*$B$7)*D7/D45*(1+$B$15)^($C102-$C$99)*1/$B$14</f>
        <v>96332194.957949743</v>
      </c>
      <c r="E102" s="63">
        <f>('Demographic-Economic'!C$14+'Demographic-Economic'!C$15+'Demographic-Economic'!C$16)*1000*(1+'Inflation-Interest'!$B$58)*(1+'Inflation-Interest'!$B$59)*(1+'Inflation-Interest'!$B$60)* ('Prediction Results (Transposed)'!K$3*($B$8/12)*$B$5+ 'Prediction Results (Transposed)'!K$4*($B$9/12)*$B$6+ 'Prediction Results (Transposed)'!K$5*($B$10/12)*$B$7)*E7/E45*(1+$B$15)^($C102-$C$99)*1/$B$14</f>
        <v>123754397.08375257</v>
      </c>
      <c r="F102" s="63">
        <f>('Demographic-Economic'!D$14+'Demographic-Economic'!D$15+'Demographic-Economic'!D$16)*1000*(1+'Inflation-Interest'!$B$58)*(1+'Inflation-Interest'!$B$59)*(1+'Inflation-Interest'!$B$60)* ('Prediction Results (Transposed)'!L$3*($B$8/12)*$B$5+ 'Prediction Results (Transposed)'!L$4*($B$9/12)*$B$6+ 'Prediction Results (Transposed)'!L$5*($B$10/12)*$B$7)*F7/F45*(1+$B$15)^($C102-$C$99)*1/$B$14</f>
        <v>6146008.1757349949</v>
      </c>
      <c r="G102" s="63">
        <f>('Demographic-Economic'!E$14+'Demographic-Economic'!E$15+'Demographic-Economic'!E$16)*1000*(1+'Inflation-Interest'!$B$58)*(1+'Inflation-Interest'!$B$59)*(1+'Inflation-Interest'!$B$60)* ('Prediction Results (Transposed)'!M$3*($B$8/12)*$B$5+ 'Prediction Results (Transposed)'!M$4*($B$9/12)*$B$6+ 'Prediction Results (Transposed)'!M$5*($B$10/12)*$B$7)*G7/G45*(1+$B$15)^($C102-$C$99)*1/$B$14</f>
        <v>728431.74912878347</v>
      </c>
      <c r="H102" s="63">
        <f>('Demographic-Economic'!F$14+'Demographic-Economic'!F$15+'Demographic-Economic'!F$16)*1000*(1+'Inflation-Interest'!$B$58)*(1+'Inflation-Interest'!$B$59)*(1+'Inflation-Interest'!$B$60)* ('Prediction Results (Transposed)'!N$3*($B$8/12)*$B$5+ 'Prediction Results (Transposed)'!N$4*($B$9/12)*$B$6+ 'Prediction Results (Transposed)'!N$5*($B$10/12)*$B$7)*H7/H45*(1+$B$15)^($C102-$C$99)*1/$B$14</f>
        <v>2232527.5174697372</v>
      </c>
      <c r="I102" s="63">
        <f>('Demographic-Economic'!G$14+'Demographic-Economic'!G$15+'Demographic-Economic'!G$16)*1000*(1+'Inflation-Interest'!$B$58)*(1+'Inflation-Interest'!$B$59)*(1+'Inflation-Interest'!$B$60)* ('Prediction Results (Transposed)'!O$3*($B$8/12)*$B$5+ 'Prediction Results (Transposed)'!O$4*($B$9/12)*$B$6+ 'Prediction Results (Transposed)'!O$5*($B$10/12)*$B$7)*I7/I45*(1+$B$15)^($C102-$C$99)*1/$B$14</f>
        <v>556363.71984859533</v>
      </c>
      <c r="K102" s="193">
        <v>2023</v>
      </c>
      <c r="L102" s="63">
        <f>('Demographic-Economic'!B$14+'Demographic-Economic'!B$15+'Demographic-Economic'!B$16)*1000*(1+'Inflation-Interest'!$B$58)*(1+'Inflation-Interest'!$B$59)*(1+'Inflation-Interest'!$B$60)* ('Prediction Results (Transposed)'!J$3*($B$8/12)*$B$5+ 'Prediction Results (Transposed)'!J$4*($B$9/12)*$B$6+ 'Prediction Results (Transposed)'!J$5*($B$10/12)*$B$7)*L7/L45*(1+$B$15)^($K102-$K$99) * 1/$B$14</f>
        <v>97148852.62337032</v>
      </c>
      <c r="M102" s="63">
        <f>('Demographic-Economic'!C$14+'Demographic-Economic'!C$15+'Demographic-Economic'!C$16)*1000*(1+'Inflation-Interest'!$B$58)*(1+'Inflation-Interest'!$B$59)*(1+'Inflation-Interest'!$B$60)* ('Prediction Results (Transposed)'!K$3*($B$8/12)*$B$5+ 'Prediction Results (Transposed)'!K$4*($B$9/12)*$B$6+ 'Prediction Results (Transposed)'!K$5*($B$10/12)*$B$7)*M7/M45*(1+$B$15)^($K102-$K$99) * 1/$B$14</f>
        <v>124803526.88975424</v>
      </c>
      <c r="N102" s="63">
        <f>('Demographic-Economic'!D$14+'Demographic-Economic'!D$15+'Demographic-Economic'!D$16)*1000*(1+'Inflation-Interest'!$B$58)*(1+'Inflation-Interest'!$B$59)*(1+'Inflation-Interest'!$B$60)* ('Prediction Results (Transposed)'!L$3*($B$8/12)*$B$5+ 'Prediction Results (Transposed)'!L$4*($B$9/12)*$B$6+ 'Prediction Results (Transposed)'!L$5*($B$10/12)*$B$7)*N7/N45*(1+$B$15)^($K102-$K$99) * 1/$B$14</f>
        <v>6198111.054639006</v>
      </c>
      <c r="O102" s="63">
        <f>('Demographic-Economic'!E$14+'Demographic-Economic'!E$15+'Demographic-Economic'!E$16)*1000*(1+'Inflation-Interest'!$B$58)*(1+'Inflation-Interest'!$B$59)*(1+'Inflation-Interest'!$B$60)* ('Prediction Results (Transposed)'!M$3*($B$8/12)*$B$5+ 'Prediction Results (Transposed)'!M$4*($B$9/12)*$B$6+ 'Prediction Results (Transposed)'!M$5*($B$10/12)*$B$7)*O7/O45*(1+$B$15)^($K102-$K$99) * 1/$B$14</f>
        <v>734607.04049343476</v>
      </c>
      <c r="P102" s="63">
        <f>('Demographic-Economic'!F$14+'Demographic-Economic'!F$15+'Demographic-Economic'!F$16)*1000*(1+'Inflation-Interest'!$B$58)*(1+'Inflation-Interest'!$B$59)*(1+'Inflation-Interest'!$B$60)* ('Prediction Results (Transposed)'!N$3*($B$8/12)*$B$5+ 'Prediction Results (Transposed)'!N$4*($B$9/12)*$B$6+ 'Prediction Results (Transposed)'!N$5*($B$10/12)*$B$7)*P7/P45*(1+$B$15)^($K102-$K$99) * 1/$B$14</f>
        <v>2251453.803860283</v>
      </c>
      <c r="Q102" s="63">
        <f>('Demographic-Economic'!G$14+'Demographic-Economic'!G$15+'Demographic-Economic'!G$16)*1000*(1+'Inflation-Interest'!$B$58)*(1+'Inflation-Interest'!$B$59)*(1+'Inflation-Interest'!$B$60)* ('Prediction Results (Transposed)'!O$3*($B$8/12)*$B$5+ 'Prediction Results (Transposed)'!O$4*($B$9/12)*$B$6+ 'Prediction Results (Transposed)'!O$5*($B$10/12)*$B$7)*Q7/Q45*(1+$B$15)^($K102-$K$99) * 1/$B$14</f>
        <v>561080.30184669665</v>
      </c>
      <c r="S102" s="193">
        <v>2023</v>
      </c>
      <c r="T102" s="63">
        <f>('Demographic-Economic'!B$14+'Demographic-Economic'!B$15+'Demographic-Economic'!B$16)*1000*(1+'Inflation-Interest'!$B$58)*(1+'Inflation-Interest'!$B$59)*(1+'Inflation-Interest'!$B$60)* ('Prediction Results (Transposed)'!J$3*($B$8/12*$B$5)+ 'Prediction Results (Transposed)'!J$4*($B$9/12*$B$6)+ 'Prediction Results (Transposed)'!J$5*($B$10/12*$B$7))*T7/T45*(1+$B$15)^($S102-$S$99) * 1/$B$14</f>
        <v>99023335.31026262</v>
      </c>
      <c r="U102" s="63">
        <f>('Demographic-Economic'!C$14+'Demographic-Economic'!C$15+'Demographic-Economic'!C$16)*1000*(1+'Inflation-Interest'!$B$58)*(1+'Inflation-Interest'!$B$59)*(1+'Inflation-Interest'!$B$60)* ('Prediction Results (Transposed)'!K$3*($B$8/12*$B$5)+ 'Prediction Results (Transposed)'!K$4*($B$9/12*$B$6)+ 'Prediction Results (Transposed)'!K$5*($B$10/12*$B$7))*U7/U45*(1+$B$15)^($S102-$S$99) * 1/$B$14</f>
        <v>127211605.25713237</v>
      </c>
      <c r="V102" s="63">
        <f>('Demographic-Economic'!D$14+'Demographic-Economic'!D$15+'Demographic-Economic'!D$16)*1000*(1+'Inflation-Interest'!$B$58)*(1+'Inflation-Interest'!$B$59)*(1+'Inflation-Interest'!$B$60)* ('Prediction Results (Transposed)'!L$3*($B$8/12*$B$5)+ 'Prediction Results (Transposed)'!L$4*($B$9/12*$B$6)+ 'Prediction Results (Transposed)'!L$5*($B$10/12*$B$7))*V7/V45*(1+$B$15)^($S102-$S$99) * 1/$B$14</f>
        <v>6317703.3251560712</v>
      </c>
      <c r="W102" s="63">
        <f>('Demographic-Economic'!E$14+'Demographic-Economic'!E$15+'Demographic-Economic'!E$16)*1000*(1+'Inflation-Interest'!$B$58)*(1+'Inflation-Interest'!$B$59)*(1+'Inflation-Interest'!$B$60)* ('Prediction Results (Transposed)'!M$3*($B$8/12*$B$5)+ 'Prediction Results (Transposed)'!M$4*($B$9/12*$B$6)+ 'Prediction Results (Transposed)'!M$5*($B$10/12*$B$7))*W7/W45*(1+$B$15)^($S102-$S$99) * 1/$B$14</f>
        <v>748781.24988335476</v>
      </c>
      <c r="X102" s="63">
        <f>('Demographic-Economic'!F$14+'Demographic-Economic'!F$15+'Demographic-Economic'!F$16)*1000*(1+'Inflation-Interest'!$B$58)*(1+'Inflation-Interest'!$B$59)*(1+'Inflation-Interest'!$B$60)* ('Prediction Results (Transposed)'!N$3*($B$8/12*$B$5)+ 'Prediction Results (Transposed)'!N$4*($B$9/12*$B$6)+ 'Prediction Results (Transposed)'!N$5*($B$10/12*$B$7))*X7/X45*(1+$B$15)^($S102-$S$99) * 1/$B$14</f>
        <v>2294895.5024672169</v>
      </c>
      <c r="Y102" s="63">
        <f>('Demographic-Economic'!G$14+'Demographic-Economic'!G$15+'Demographic-Economic'!G$16)*1000*(1+'Inflation-Interest'!$B$58)*(1+'Inflation-Interest'!$B$59)*(1+'Inflation-Interest'!$B$60)* ('Prediction Results (Transposed)'!O$3*($B$8/12*$B$5)+ 'Prediction Results (Transposed)'!O$4*($B$9/12*$B$6)+ 'Prediction Results (Transposed)'!O$5*($B$10/12*$B$7))*Y7/Y45*(1+$B$15)^($S102-$S$99) * 1/$B$14</f>
        <v>571906.32071740169</v>
      </c>
      <c r="AA102" s="193">
        <v>2023</v>
      </c>
      <c r="AB102" s="63">
        <f>('Demographic-Economic'!B$14+'Demographic-Economic'!B$15+'Demographic-Economic'!B$16)*1000*(1+'Inflation-Interest'!$B$58)*(1+'Inflation-Interest'!$B$59)*(1+'Inflation-Interest'!$B$60)* ('Prediction Results (Transposed)'!J$3*($B$8/12*$B$5)+ 'Prediction Results (Transposed)'!J$4*($B$9/12*$B$6)+ 'Prediction Results (Transposed)'!J$5*($B$10/12*$B$7))*AB7/AB45*(1+$B$15)^($AA102-$AA$99)*1/$B$14</f>
        <v>100210048.05993579</v>
      </c>
      <c r="AC102" s="63">
        <f>('Demographic-Economic'!C$14+'Demographic-Economic'!C$15+'Demographic-Economic'!C$16)*1000*(1+'Inflation-Interest'!$B$58)*(1+'Inflation-Interest'!$B$59)*(1+'Inflation-Interest'!$B$60)* ('Prediction Results (Transposed)'!K$3*($B$8/12*$B$5)+ 'Prediction Results (Transposed)'!K$4*($B$9/12*$B$6)+ 'Prediction Results (Transposed)'!K$5*($B$10/12*$B$7))*AC7/AC45*(1+$B$15)^($AA102-$AA$99)*1/$B$14</f>
        <v>128736131.10138942</v>
      </c>
      <c r="AD102" s="63">
        <f>('Demographic-Economic'!D$14+'Demographic-Economic'!D$15+'Demographic-Economic'!D$16)*1000*(1+'Inflation-Interest'!$B$58)*(1+'Inflation-Interest'!$B$59)*(1+'Inflation-Interest'!$B$60)* ('Prediction Results (Transposed)'!L$3*($B$8/12*$B$5)+ 'Prediction Results (Transposed)'!L$4*($B$9/12*$B$6)+ 'Prediction Results (Transposed)'!L$5*($B$10/12*$B$7))*AD7/AD45*(1+$B$15)^($AA102-$AA$99)*1/$B$14</f>
        <v>6393415.7727435464</v>
      </c>
      <c r="AE102" s="63">
        <f>('Demographic-Economic'!E$14+'Demographic-Economic'!E$15+'Demographic-Economic'!E$16)*1000*(1+'Inflation-Interest'!$B$58)*(1+'Inflation-Interest'!$B$59)*(1+'Inflation-Interest'!$B$60)* ('Prediction Results (Transposed)'!M$3*($B$8/12*$B$5)+ 'Prediction Results (Transposed)'!M$4*($B$9/12*$B$6)+ 'Prediction Results (Transposed)'!M$5*($B$10/12*$B$7))*AE7/AE45*(1+$B$15)^($AA102-$AA$99)*1/$B$14</f>
        <v>757754.7736812419</v>
      </c>
      <c r="AF102" s="63">
        <f>('Demographic-Economic'!F$14+'Demographic-Economic'!F$15+'Demographic-Economic'!F$16)*1000*(1+'Inflation-Interest'!$B$58)*(1+'Inflation-Interest'!$B$59)*(1+'Inflation-Interest'!$B$60)* ('Prediction Results (Transposed)'!N$3*($B$8/12*$B$5)+ 'Prediction Results (Transposed)'!N$4*($B$9/12*$B$6)+ 'Prediction Results (Transposed)'!N$5*($B$10/12*$B$7))*AF7/AF45*(1+$B$15)^($AA102-$AA$99)*1/$B$14</f>
        <v>2322397.9264505389</v>
      </c>
      <c r="AG102" s="63">
        <f>('Demographic-Economic'!G$14+'Demographic-Economic'!G$15+'Demographic-Economic'!G$16)*1000*(1+'Inflation-Interest'!$B$58)*(1+'Inflation-Interest'!$B$59)*(1+'Inflation-Interest'!$B$60)* ('Prediction Results (Transposed)'!O$3*($B$8/12*$B$5)+ 'Prediction Results (Transposed)'!O$4*($B$9/12*$B$6)+ 'Prediction Results (Transposed)'!O$5*($B$10/12*$B$7))*AG7/AG45*(1+$B$15)^($AA102-$AA$99)*1/$B$14</f>
        <v>578760.1448214628</v>
      </c>
    </row>
    <row r="103" spans="1:33">
      <c r="A103" s="256"/>
      <c r="B103" s="257"/>
      <c r="C103" s="193">
        <v>2024</v>
      </c>
      <c r="D103" s="63">
        <f>('Demographic-Economic'!B$14+'Demographic-Economic'!B$15+'Demographic-Economic'!B$16)*1000*(1+'Inflation-Interest'!$B$58)*(1+'Inflation-Interest'!$B$59)*(1+'Inflation-Interest'!$B$60)* ('Prediction Results (Transposed)'!J$3*($B$8/12)*$B$5+ 'Prediction Results (Transposed)'!J$4*($B$9/12)*$B$6+ 'Prediction Results (Transposed)'!J$5*($B$10/12)*$B$7)*D8/D46*(1+$B$15)^($C103-$C$99)*1/$B$14</f>
        <v>102067548.33617491</v>
      </c>
      <c r="E103" s="63">
        <f>('Demographic-Economic'!C$14+'Demographic-Economic'!C$15+'Demographic-Economic'!C$16)*1000*(1+'Inflation-Interest'!$B$58)*(1+'Inflation-Interest'!$B$59)*(1+'Inflation-Interest'!$B$60)* ('Prediction Results (Transposed)'!K$3*($B$8/12)*$B$5+ 'Prediction Results (Transposed)'!K$4*($B$9/12)*$B$6+ 'Prediction Results (Transposed)'!K$5*($B$10/12)*$B$7)*E8/E46*(1+$B$15)^($C103-$C$99)*1/$B$14</f>
        <v>131122392.79582317</v>
      </c>
      <c r="F103" s="63">
        <f>('Demographic-Economic'!D$14+'Demographic-Economic'!D$15+'Demographic-Economic'!D$16)*1000*(1+'Inflation-Interest'!$B$58)*(1+'Inflation-Interest'!$B$59)*(1+'Inflation-Interest'!$B$60)* ('Prediction Results (Transposed)'!L$3*($B$8/12)*$B$5+ 'Prediction Results (Transposed)'!L$4*($B$9/12)*$B$6+ 'Prediction Results (Transposed)'!L$5*($B$10/12)*$B$7)*F8/F46*(1+$B$15)^($C103-$C$99)*1/$B$14</f>
        <v>6511924.5629686536</v>
      </c>
      <c r="G103" s="63">
        <f>('Demographic-Economic'!E$14+'Demographic-Economic'!E$15+'Demographic-Economic'!E$16)*1000*(1+'Inflation-Interest'!$B$58)*(1+'Inflation-Interest'!$B$59)*(1+'Inflation-Interest'!$B$60)* ('Prediction Results (Transposed)'!M$3*($B$8/12)*$B$5+ 'Prediction Results (Transposed)'!M$4*($B$9/12)*$B$6+ 'Prediction Results (Transposed)'!M$5*($B$10/12)*$B$7)*G8/G46*(1+$B$15)^($C103-$C$99)*1/$B$14</f>
        <v>771800.56777758419</v>
      </c>
      <c r="H103" s="63">
        <f>('Demographic-Economic'!F$14+'Demographic-Economic'!F$15+'Demographic-Economic'!F$16)*1000*(1+'Inflation-Interest'!$B$58)*(1+'Inflation-Interest'!$B$59)*(1+'Inflation-Interest'!$B$60)* ('Prediction Results (Transposed)'!N$3*($B$8/12)*$B$5+ 'Prediction Results (Transposed)'!N$4*($B$9/12)*$B$6+ 'Prediction Results (Transposed)'!N$5*($B$10/12)*$B$7)*H8/H46*(1+$B$15)^($C103-$C$99)*1/$B$14</f>
        <v>2365446.0525959227</v>
      </c>
      <c r="I103" s="63">
        <f>('Demographic-Economic'!G$14+'Demographic-Economic'!G$15+'Demographic-Economic'!G$16)*1000*(1+'Inflation-Interest'!$B$58)*(1+'Inflation-Interest'!$B$59)*(1+'Inflation-Interest'!$B$60)* ('Prediction Results (Transposed)'!O$3*($B$8/12)*$B$5+ 'Prediction Results (Transposed)'!O$4*($B$9/12)*$B$6+ 'Prediction Results (Transposed)'!O$5*($B$10/12)*$B$7)*I8/I46*(1+$B$15)^($C103-$C$99)*1/$B$14</f>
        <v>589488.0822857687</v>
      </c>
      <c r="K103" s="193">
        <v>2024</v>
      </c>
      <c r="L103" s="63">
        <f>('Demographic-Economic'!B$14+'Demographic-Economic'!B$15+'Demographic-Economic'!B$16)*1000*(1+'Inflation-Interest'!$B$58)*(1+'Inflation-Interest'!$B$59)*(1+'Inflation-Interest'!$B$60)* ('Prediction Results (Transposed)'!J$3*($B$8/12)*$B$5+ 'Prediction Results (Transposed)'!J$4*($B$9/12)*$B$6+ 'Prediction Results (Transposed)'!J$5*($B$10/12)*$B$7)*L8/L46*(1+$B$15)^($K103-$K$99) * 1/$B$14</f>
        <v>103209984.15084448</v>
      </c>
      <c r="M103" s="63">
        <f>('Demographic-Economic'!C$14+'Demographic-Economic'!C$15+'Demographic-Economic'!C$16)*1000*(1+'Inflation-Interest'!$B$58)*(1+'Inflation-Interest'!$B$59)*(1+'Inflation-Interest'!$B$60)* ('Prediction Results (Transposed)'!K$3*($B$8/12)*$B$5+ 'Prediction Results (Transposed)'!K$4*($B$9/12)*$B$6+ 'Prediction Results (Transposed)'!K$5*($B$10/12)*$B$7)*M8/M46*(1+$B$15)^($K103-$K$99) * 1/$B$14</f>
        <v>132590037.70428847</v>
      </c>
      <c r="N103" s="63">
        <f>('Demographic-Economic'!D$14+'Demographic-Economic'!D$15+'Demographic-Economic'!D$16)*1000*(1+'Inflation-Interest'!$B$58)*(1+'Inflation-Interest'!$B$59)*(1+'Inflation-Interest'!$B$60)* ('Prediction Results (Transposed)'!L$3*($B$8/12)*$B$5+ 'Prediction Results (Transposed)'!L$4*($B$9/12)*$B$6+ 'Prediction Results (Transposed)'!L$5*($B$10/12)*$B$7)*N8/N46*(1+$B$15)^($K103-$K$99) * 1/$B$14</f>
        <v>6584812.1356049525</v>
      </c>
      <c r="O103" s="63">
        <f>('Demographic-Economic'!E$14+'Demographic-Economic'!E$15+'Demographic-Economic'!E$16)*1000*(1+'Inflation-Interest'!$B$58)*(1+'Inflation-Interest'!$B$59)*(1+'Inflation-Interest'!$B$60)* ('Prediction Results (Transposed)'!M$3*($B$8/12)*$B$5+ 'Prediction Results (Transposed)'!M$4*($B$9/12)*$B$6+ 'Prediction Results (Transposed)'!M$5*($B$10/12)*$B$7)*O8/O46*(1+$B$15)^($K103-$K$99) * 1/$B$14</f>
        <v>780439.28424314782</v>
      </c>
      <c r="P103" s="63">
        <f>('Demographic-Economic'!F$14+'Demographic-Economic'!F$15+'Demographic-Economic'!F$16)*1000*(1+'Inflation-Interest'!$B$58)*(1+'Inflation-Interest'!$B$59)*(1+'Inflation-Interest'!$B$60)* ('Prediction Results (Transposed)'!N$3*($B$8/12)*$B$5+ 'Prediction Results (Transposed)'!N$4*($B$9/12)*$B$6+ 'Prediction Results (Transposed)'!N$5*($B$10/12)*$B$7)*P8/P46*(1+$B$15)^($K103-$K$99) * 1/$B$14</f>
        <v>2391922.3453276115</v>
      </c>
      <c r="Q103" s="63">
        <f>('Demographic-Economic'!G$14+'Demographic-Economic'!G$15+'Demographic-Economic'!G$16)*1000*(1+'Inflation-Interest'!$B$58)*(1+'Inflation-Interest'!$B$59)*(1+'Inflation-Interest'!$B$60)* ('Prediction Results (Transposed)'!O$3*($B$8/12)*$B$5+ 'Prediction Results (Transposed)'!O$4*($B$9/12)*$B$6+ 'Prediction Results (Transposed)'!O$5*($B$10/12)*$B$7)*Q8/Q46*(1+$B$15)^($K103-$K$99) * 1/$B$14</f>
        <v>596086.18627182744</v>
      </c>
      <c r="S103" s="193">
        <v>2024</v>
      </c>
      <c r="T103" s="63">
        <f>('Demographic-Economic'!B$14+'Demographic-Economic'!B$15+'Demographic-Economic'!B$16)*1000*(1+'Inflation-Interest'!$B$58)*(1+'Inflation-Interest'!$B$59)*(1+'Inflation-Interest'!$B$60)* ('Prediction Results (Transposed)'!J$3*($B$8/12*$B$5)+ 'Prediction Results (Transposed)'!J$4*($B$9/12*$B$6)+ 'Prediction Results (Transposed)'!J$5*($B$10/12*$B$7))*T8/T46*(1+$B$15)^($S103-$S$99) * 1/$B$14</f>
        <v>105837970.10825895</v>
      </c>
      <c r="U103" s="63">
        <f>('Demographic-Economic'!C$14+'Demographic-Economic'!C$15+'Demographic-Economic'!C$16)*1000*(1+'Inflation-Interest'!$B$58)*(1+'Inflation-Interest'!$B$59)*(1+'Inflation-Interest'!$B$60)* ('Prediction Results (Transposed)'!K$3*($B$8/12*$B$5)+ 'Prediction Results (Transposed)'!K$4*($B$9/12*$B$6)+ 'Prediction Results (Transposed)'!K$5*($B$10/12*$B$7))*U8/U46*(1+$B$15)^($S103-$S$99) * 1/$B$14</f>
        <v>135966113.76947477</v>
      </c>
      <c r="V103" s="63">
        <f>('Demographic-Economic'!D$14+'Demographic-Economic'!D$15+'Demographic-Economic'!D$16)*1000*(1+'Inflation-Interest'!$B$58)*(1+'Inflation-Interest'!$B$59)*(1+'Inflation-Interest'!$B$60)* ('Prediction Results (Transposed)'!L$3*($B$8/12*$B$5)+ 'Prediction Results (Transposed)'!L$4*($B$9/12*$B$6)+ 'Prediction Results (Transposed)'!L$5*($B$10/12*$B$7))*V8/V46*(1+$B$15)^($S103-$S$99) * 1/$B$14</f>
        <v>6752478.025363164</v>
      </c>
      <c r="W103" s="63">
        <f>('Demographic-Economic'!E$14+'Demographic-Economic'!E$15+'Demographic-Economic'!E$16)*1000*(1+'Inflation-Interest'!$B$58)*(1+'Inflation-Interest'!$B$59)*(1+'Inflation-Interest'!$B$60)* ('Prediction Results (Transposed)'!M$3*($B$8/12*$B$5)+ 'Prediction Results (Transposed)'!M$4*($B$9/12*$B$6)+ 'Prediction Results (Transposed)'!M$5*($B$10/12*$B$7))*W8/W46*(1+$B$15)^($S103-$S$99) * 1/$B$14</f>
        <v>800311.23264503921</v>
      </c>
      <c r="X103" s="63">
        <f>('Demographic-Economic'!F$14+'Demographic-Economic'!F$15+'Demographic-Economic'!F$16)*1000*(1+'Inflation-Interest'!$B$58)*(1+'Inflation-Interest'!$B$59)*(1+'Inflation-Interest'!$B$60)* ('Prediction Results (Transposed)'!N$3*($B$8/12*$B$5)+ 'Prediction Results (Transposed)'!N$4*($B$9/12*$B$6)+ 'Prediction Results (Transposed)'!N$5*($B$10/12*$B$7))*X8/X46*(1+$B$15)^($S103-$S$99) * 1/$B$14</f>
        <v>2452826.708277225</v>
      </c>
      <c r="Y103" s="63">
        <f>('Demographic-Economic'!G$14+'Demographic-Economic'!G$15+'Demographic-Economic'!G$16)*1000*(1+'Inflation-Interest'!$B$58)*(1+'Inflation-Interest'!$B$59)*(1+'Inflation-Interest'!$B$60)* ('Prediction Results (Transposed)'!O$3*($B$8/12*$B$5)+ 'Prediction Results (Transposed)'!O$4*($B$9/12*$B$6)+ 'Prediction Results (Transposed)'!O$5*($B$10/12*$B$7))*Y8/Y46*(1+$B$15)^($S103-$S$99) * 1/$B$14</f>
        <v>611264.04081583745</v>
      </c>
      <c r="AA103" s="193">
        <v>2024</v>
      </c>
      <c r="AB103" s="63">
        <f>('Demographic-Economic'!B$14+'Demographic-Economic'!B$15+'Demographic-Economic'!B$16)*1000*(1+'Inflation-Interest'!$B$58)*(1+'Inflation-Interest'!$B$59)*(1+'Inflation-Interest'!$B$60)* ('Prediction Results (Transposed)'!J$3*($B$8/12*$B$5)+ 'Prediction Results (Transposed)'!J$4*($B$9/12*$B$6)+ 'Prediction Results (Transposed)'!J$5*($B$10/12*$B$7))*AB8/AB46*(1+$B$15)^($AA103-$AA$99)*1/$B$14</f>
        <v>107505770.613628</v>
      </c>
      <c r="AC103" s="63">
        <f>('Demographic-Economic'!C$14+'Demographic-Economic'!C$15+'Demographic-Economic'!C$16)*1000*(1+'Inflation-Interest'!$B$58)*(1+'Inflation-Interest'!$B$59)*(1+'Inflation-Interest'!$B$60)* ('Prediction Results (Transposed)'!K$3*($B$8/12*$B$5)+ 'Prediction Results (Transposed)'!K$4*($B$9/12*$B$6)+ 'Prediction Results (Transposed)'!K$5*($B$10/12*$B$7))*AC8/AC46*(1+$B$15)^($AA103-$AA$99)*1/$B$14</f>
        <v>138108675.20584625</v>
      </c>
      <c r="AD103" s="63">
        <f>('Demographic-Economic'!D$14+'Demographic-Economic'!D$15+'Demographic-Economic'!D$16)*1000*(1+'Inflation-Interest'!$B$58)*(1+'Inflation-Interest'!$B$59)*(1+'Inflation-Interest'!$B$60)* ('Prediction Results (Transposed)'!L$3*($B$8/12*$B$5)+ 'Prediction Results (Transposed)'!L$4*($B$9/12*$B$6)+ 'Prediction Results (Transposed)'!L$5*($B$10/12*$B$7))*AD8/AD46*(1+$B$15)^($AA103-$AA$99)*1/$B$14</f>
        <v>6858883.9423670014</v>
      </c>
      <c r="AE103" s="63">
        <f>('Demographic-Economic'!E$14+'Demographic-Economic'!E$15+'Demographic-Economic'!E$16)*1000*(1+'Inflation-Interest'!$B$58)*(1+'Inflation-Interest'!$B$59)*(1+'Inflation-Interest'!$B$60)* ('Prediction Results (Transposed)'!M$3*($B$8/12*$B$5)+ 'Prediction Results (Transposed)'!M$4*($B$9/12*$B$6)+ 'Prediction Results (Transposed)'!M$5*($B$10/12*$B$7))*AE8/AE46*(1+$B$15)^($AA103-$AA$99)*1/$B$14</f>
        <v>812922.58069803601</v>
      </c>
      <c r="AF103" s="63">
        <f>('Demographic-Economic'!F$14+'Demographic-Economic'!F$15+'Demographic-Economic'!F$16)*1000*(1+'Inflation-Interest'!$B$58)*(1+'Inflation-Interest'!$B$59)*(1+'Inflation-Interest'!$B$60)* ('Prediction Results (Transposed)'!N$3*($B$8/12*$B$5)+ 'Prediction Results (Transposed)'!N$4*($B$9/12*$B$6)+ 'Prediction Results (Transposed)'!N$5*($B$10/12*$B$7))*AF8/AF46*(1+$B$15)^($AA103-$AA$99)*1/$B$14</f>
        <v>2491478.4853234305</v>
      </c>
      <c r="AG103" s="63">
        <f>('Demographic-Economic'!G$14+'Demographic-Economic'!G$15+'Demographic-Economic'!G$16)*1000*(1+'Inflation-Interest'!$B$58)*(1+'Inflation-Interest'!$B$59)*(1+'Inflation-Interest'!$B$60)* ('Prediction Results (Transposed)'!O$3*($B$8/12*$B$5)+ 'Prediction Results (Transposed)'!O$4*($B$9/12*$B$6)+ 'Prediction Results (Transposed)'!O$5*($B$10/12*$B$7))*AG8/AG46*(1+$B$15)^($AA103-$AA$99)*1/$B$14</f>
        <v>620896.37290935544</v>
      </c>
    </row>
    <row r="104" spans="1:33">
      <c r="A104" s="256"/>
      <c r="B104" s="257"/>
      <c r="C104" s="193">
        <v>2025</v>
      </c>
      <c r="D104" s="63">
        <f>('Demographic-Economic'!B$14+'Demographic-Economic'!B$15+'Demographic-Economic'!B$16)*1000*(1+'Inflation-Interest'!$B$58)*(1+'Inflation-Interest'!$B$59)*(1+'Inflation-Interest'!$B$60)* ('Prediction Results (Transposed)'!J$3*($B$8/12)*$B$5+ 'Prediction Results (Transposed)'!J$4*($B$9/12)*$B$6+ 'Prediction Results (Transposed)'!J$5*($B$10/12)*$B$7)*D9/D47*(1+$B$15)^($C104-$C$99)*1/$B$14</f>
        <v>108120816.6636906</v>
      </c>
      <c r="E104" s="63">
        <f>('Demographic-Economic'!C$14+'Demographic-Economic'!C$15+'Demographic-Economic'!C$16)*1000*(1+'Inflation-Interest'!$B$58)*(1+'Inflation-Interest'!$B$59)*(1+'Inflation-Interest'!$B$60)* ('Prediction Results (Transposed)'!K$3*($B$8/12)*$B$5+ 'Prediction Results (Transposed)'!K$4*($B$9/12)*$B$6+ 'Prediction Results (Transposed)'!K$5*($B$10/12)*$B$7)*E9/E47*(1+$B$15)^($C104-$C$99)*1/$B$14</f>
        <v>138898802.0490835</v>
      </c>
      <c r="F104" s="63">
        <f>('Demographic-Economic'!D$14+'Demographic-Economic'!D$15+'Demographic-Economic'!D$16)*1000*(1+'Inflation-Interest'!$B$58)*(1+'Inflation-Interest'!$B$59)*(1+'Inflation-Interest'!$B$60)* ('Prediction Results (Transposed)'!L$3*($B$8/12)*$B$5+ 'Prediction Results (Transposed)'!L$4*($B$9/12)*$B$6+ 'Prediction Results (Transposed)'!L$5*($B$10/12)*$B$7)*F9/F47*(1+$B$15)^($C104-$C$99)*1/$B$14</f>
        <v>6898123.9706232687</v>
      </c>
      <c r="G104" s="63">
        <f>('Demographic-Economic'!E$14+'Demographic-Economic'!E$15+'Demographic-Economic'!E$16)*1000*(1+'Inflation-Interest'!$B$58)*(1+'Inflation-Interest'!$B$59)*(1+'Inflation-Interest'!$B$60)* ('Prediction Results (Transposed)'!M$3*($B$8/12)*$B$5+ 'Prediction Results (Transposed)'!M$4*($B$9/12)*$B$6+ 'Prediction Results (Transposed)'!M$5*($B$10/12)*$B$7)*G9/G47*(1+$B$15)^($C104-$C$99)*1/$B$14</f>
        <v>817573.35264647333</v>
      </c>
      <c r="H104" s="63">
        <f>('Demographic-Economic'!F$14+'Demographic-Economic'!F$15+'Demographic-Economic'!F$16)*1000*(1+'Inflation-Interest'!$B$58)*(1+'Inflation-Interest'!$B$59)*(1+'Inflation-Interest'!$B$60)* ('Prediction Results (Transposed)'!N$3*($B$8/12)*$B$5+ 'Prediction Results (Transposed)'!N$4*($B$9/12)*$B$6+ 'Prediction Results (Transposed)'!N$5*($B$10/12)*$B$7)*H9/H47*(1+$B$15)^($C104-$C$99)*1/$B$14</f>
        <v>2505732.3620452802</v>
      </c>
      <c r="I104" s="63">
        <f>('Demographic-Economic'!G$14+'Demographic-Economic'!G$15+'Demographic-Economic'!G$16)*1000*(1+'Inflation-Interest'!$B$58)*(1+'Inflation-Interest'!$B$59)*(1+'Inflation-Interest'!$B$60)* ('Prediction Results (Transposed)'!O$3*($B$8/12)*$B$5+ 'Prediction Results (Transposed)'!O$4*($B$9/12)*$B$6+ 'Prediction Results (Transposed)'!O$5*($B$10/12)*$B$7)*I9/I47*(1+$B$15)^($C104-$C$99)*1/$B$14</f>
        <v>624448.55303397926</v>
      </c>
      <c r="K104" s="193">
        <v>2025</v>
      </c>
      <c r="L104" s="63">
        <f>('Demographic-Economic'!B$14+'Demographic-Economic'!B$15+'Demographic-Economic'!B$16)*1000*(1+'Inflation-Interest'!$B$58)*(1+'Inflation-Interest'!$B$59)*(1+'Inflation-Interest'!$B$60)* ('Prediction Results (Transposed)'!J$3*($B$8/12)*$B$5+ 'Prediction Results (Transposed)'!J$4*($B$9/12)*$B$6+ 'Prediction Results (Transposed)'!J$5*($B$10/12)*$B$7)*L9/L47*(1+$B$15)^($K104-$K$99) * 1/$B$14</f>
        <v>109618918.44337845</v>
      </c>
      <c r="M104" s="63">
        <f>('Demographic-Economic'!C$14+'Demographic-Economic'!C$15+'Demographic-Economic'!C$16)*1000*(1+'Inflation-Interest'!$B$58)*(1+'Inflation-Interest'!$B$59)*(1+'Inflation-Interest'!$B$60)* ('Prediction Results (Transposed)'!K$3*($B$8/12)*$B$5+ 'Prediction Results (Transposed)'!K$4*($B$9/12)*$B$6+ 'Prediction Results (Transposed)'!K$5*($B$10/12)*$B$7)*M9/M47*(1+$B$15)^($K104-$K$99) * 1/$B$14</f>
        <v>140823357.82813847</v>
      </c>
      <c r="N104" s="63">
        <f>('Demographic-Economic'!D$14+'Demographic-Economic'!D$15+'Demographic-Economic'!D$16)*1000*(1+'Inflation-Interest'!$B$58)*(1+'Inflation-Interest'!$B$59)*(1+'Inflation-Interest'!$B$60)* ('Prediction Results (Transposed)'!L$3*($B$8/12)*$B$5+ 'Prediction Results (Transposed)'!L$4*($B$9/12)*$B$6+ 'Prediction Results (Transposed)'!L$5*($B$10/12)*$B$7)*N9/N47*(1+$B$15)^($K104-$K$99) * 1/$B$14</f>
        <v>6993703.0840241825</v>
      </c>
      <c r="O104" s="63">
        <f>('Demographic-Economic'!E$14+'Demographic-Economic'!E$15+'Demographic-Economic'!E$16)*1000*(1+'Inflation-Interest'!$B$58)*(1+'Inflation-Interest'!$B$59)*(1+'Inflation-Interest'!$B$60)* ('Prediction Results (Transposed)'!M$3*($B$8/12)*$B$5+ 'Prediction Results (Transposed)'!M$4*($B$9/12)*$B$6+ 'Prediction Results (Transposed)'!M$5*($B$10/12)*$B$7)*O9/O47*(1+$B$15)^($K104-$K$99) * 1/$B$14</f>
        <v>828901.49585163279</v>
      </c>
      <c r="P104" s="63">
        <f>('Demographic-Economic'!F$14+'Demographic-Economic'!F$15+'Demographic-Economic'!F$16)*1000*(1+'Inflation-Interest'!$B$58)*(1+'Inflation-Interest'!$B$59)*(1+'Inflation-Interest'!$B$60)* ('Prediction Results (Transposed)'!N$3*($B$8/12)*$B$5+ 'Prediction Results (Transposed)'!N$4*($B$9/12)*$B$6+ 'Prediction Results (Transposed)'!N$5*($B$10/12)*$B$7)*P9/P47*(1+$B$15)^($K104-$K$99) * 1/$B$14</f>
        <v>2540451.3202148047</v>
      </c>
      <c r="Q104" s="63">
        <f>('Demographic-Economic'!G$14+'Demographic-Economic'!G$15+'Demographic-Economic'!G$16)*1000*(1+'Inflation-Interest'!$B$58)*(1+'Inflation-Interest'!$B$59)*(1+'Inflation-Interest'!$B$60)* ('Prediction Results (Transposed)'!O$3*($B$8/12)*$B$5+ 'Prediction Results (Transposed)'!O$4*($B$9/12)*$B$6+ 'Prediction Results (Transposed)'!O$5*($B$10/12)*$B$7)*Q9/Q47*(1+$B$15)^($K104-$K$99) * 1/$B$14</f>
        <v>633100.79519686953</v>
      </c>
      <c r="S104" s="193">
        <v>2025</v>
      </c>
      <c r="T104" s="63">
        <f>('Demographic-Economic'!B$14+'Demographic-Economic'!B$15+'Demographic-Economic'!B$16)*1000*(1+'Inflation-Interest'!$B$58)*(1+'Inflation-Interest'!$B$59)*(1+'Inflation-Interest'!$B$60)* ('Prediction Results (Transposed)'!J$3*($B$8/12*$B$5)+ 'Prediction Results (Transposed)'!J$4*($B$9/12*$B$6)+ 'Prediction Results (Transposed)'!J$5*($B$10/12*$B$7))*T9/T47*(1+$B$15)^($S104-$S$99) * 1/$B$14</f>
        <v>113072418.97182524</v>
      </c>
      <c r="U104" s="63">
        <f>('Demographic-Economic'!C$14+'Demographic-Economic'!C$15+'Demographic-Economic'!C$16)*1000*(1+'Inflation-Interest'!$B$58)*(1+'Inflation-Interest'!$B$59)*(1+'Inflation-Interest'!$B$60)* ('Prediction Results (Transposed)'!K$3*($B$8/12*$B$5)+ 'Prediction Results (Transposed)'!K$4*($B$9/12*$B$6)+ 'Prediction Results (Transposed)'!K$5*($B$10/12*$B$7))*U9/U47*(1+$B$15)^($S104-$S$99) * 1/$B$14</f>
        <v>145259941.83738801</v>
      </c>
      <c r="V104" s="63">
        <f>('Demographic-Economic'!D$14+'Demographic-Economic'!D$15+'Demographic-Economic'!D$16)*1000*(1+'Inflation-Interest'!$B$58)*(1+'Inflation-Interest'!$B$59)*(1+'Inflation-Interest'!$B$60)* ('Prediction Results (Transposed)'!L$3*($B$8/12*$B$5)+ 'Prediction Results (Transposed)'!L$4*($B$9/12*$B$6)+ 'Prediction Results (Transposed)'!L$5*($B$10/12*$B$7))*V9/V47*(1+$B$15)^($S104-$S$99) * 1/$B$14</f>
        <v>7214036.9245642433</v>
      </c>
      <c r="W104" s="63">
        <f>('Demographic-Economic'!E$14+'Demographic-Economic'!E$15+'Demographic-Economic'!E$16)*1000*(1+'Inflation-Interest'!$B$58)*(1+'Inflation-Interest'!$B$59)*(1+'Inflation-Interest'!$B$60)* ('Prediction Results (Transposed)'!M$3*($B$8/12*$B$5)+ 'Prediction Results (Transposed)'!M$4*($B$9/12*$B$6)+ 'Prediction Results (Transposed)'!M$5*($B$10/12*$B$7))*W9/W47*(1+$B$15)^($S104-$S$99) * 1/$B$14</f>
        <v>855015.70856786694</v>
      </c>
      <c r="X104" s="63">
        <f>('Demographic-Economic'!F$14+'Demographic-Economic'!F$15+'Demographic-Economic'!F$16)*1000*(1+'Inflation-Interest'!$B$58)*(1+'Inflation-Interest'!$B$59)*(1+'Inflation-Interest'!$B$60)* ('Prediction Results (Transposed)'!N$3*($B$8/12*$B$5)+ 'Prediction Results (Transposed)'!N$4*($B$9/12*$B$6)+ 'Prediction Results (Transposed)'!N$5*($B$10/12*$B$7))*X9/X47*(1+$B$15)^($S104-$S$99) * 1/$B$14</f>
        <v>2620487.2309995554</v>
      </c>
      <c r="Y104" s="63">
        <f>('Demographic-Economic'!G$14+'Demographic-Economic'!G$15+'Demographic-Economic'!G$16)*1000*(1+'Inflation-Interest'!$B$58)*(1+'Inflation-Interest'!$B$59)*(1+'Inflation-Interest'!$B$60)* ('Prediction Results (Transposed)'!O$3*($B$8/12*$B$5)+ 'Prediction Results (Transposed)'!O$4*($B$9/12*$B$6)+ 'Prediction Results (Transposed)'!O$5*($B$10/12*$B$7))*Y9/Y47*(1+$B$15)^($S104-$S$99) * 1/$B$14</f>
        <v>653046.3845332741</v>
      </c>
      <c r="AA104" s="193">
        <v>2025</v>
      </c>
      <c r="AB104" s="63">
        <f>('Demographic-Economic'!B$14+'Demographic-Economic'!B$15+'Demographic-Economic'!B$16)*1000*(1+'Inflation-Interest'!$B$58)*(1+'Inflation-Interest'!$B$59)*(1+'Inflation-Interest'!$B$60)* ('Prediction Results (Transposed)'!J$3*($B$8/12*$B$5)+ 'Prediction Results (Transposed)'!J$4*($B$9/12*$B$6)+ 'Prediction Results (Transposed)'!J$5*($B$10/12*$B$7))*AB9/AB47*(1+$B$15)^($AA104-$AA$99)*1/$B$14</f>
        <v>115269304.05866329</v>
      </c>
      <c r="AC104" s="63">
        <f>('Demographic-Economic'!C$14+'Demographic-Economic'!C$15+'Demographic-Economic'!C$16)*1000*(1+'Inflation-Interest'!$B$58)*(1+'Inflation-Interest'!$B$59)*(1+'Inflation-Interest'!$B$60)* ('Prediction Results (Transposed)'!K$3*($B$8/12*$B$5)+ 'Prediction Results (Transposed)'!K$4*($B$9/12*$B$6)+ 'Prediction Results (Transposed)'!K$5*($B$10/12*$B$7))*AC9/AC47*(1+$B$15)^($AA104-$AA$99)*1/$B$14</f>
        <v>148082198.60733503</v>
      </c>
      <c r="AD104" s="63">
        <f>('Demographic-Economic'!D$14+'Demographic-Economic'!D$15+'Demographic-Economic'!D$16)*1000*(1+'Inflation-Interest'!$B$58)*(1+'Inflation-Interest'!$B$59)*(1+'Inflation-Interest'!$B$60)* ('Prediction Results (Transposed)'!L$3*($B$8/12*$B$5)+ 'Prediction Results (Transposed)'!L$4*($B$9/12*$B$6)+ 'Prediction Results (Transposed)'!L$5*($B$10/12*$B$7))*AD9/AD47*(1+$B$15)^($AA104-$AA$99)*1/$B$14</f>
        <v>7354198.5155126369</v>
      </c>
      <c r="AE104" s="63">
        <f>('Demographic-Economic'!E$14+'Demographic-Economic'!E$15+'Demographic-Economic'!E$16)*1000*(1+'Inflation-Interest'!$B$58)*(1+'Inflation-Interest'!$B$59)*(1+'Inflation-Interest'!$B$60)* ('Prediction Results (Transposed)'!M$3*($B$8/12*$B$5)+ 'Prediction Results (Transposed)'!M$4*($B$9/12*$B$6)+ 'Prediction Results (Transposed)'!M$5*($B$10/12*$B$7))*AE9/AE47*(1+$B$15)^($AA104-$AA$99)*1/$B$14</f>
        <v>871627.81677467085</v>
      </c>
      <c r="AF104" s="63">
        <f>('Demographic-Economic'!F$14+'Demographic-Economic'!F$15+'Demographic-Economic'!F$16)*1000*(1+'Inflation-Interest'!$B$58)*(1+'Inflation-Interest'!$B$59)*(1+'Inflation-Interest'!$B$60)* ('Prediction Results (Transposed)'!N$3*($B$8/12*$B$5)+ 'Prediction Results (Transposed)'!N$4*($B$9/12*$B$6)+ 'Prediction Results (Transposed)'!N$5*($B$10/12*$B$7))*AF9/AF47*(1+$B$15)^($AA104-$AA$99)*1/$B$14</f>
        <v>2671400.7019448173</v>
      </c>
      <c r="AG104" s="63">
        <f>('Demographic-Economic'!G$14+'Demographic-Economic'!G$15+'Demographic-Economic'!G$16)*1000*(1+'Inflation-Interest'!$B$58)*(1+'Inflation-Interest'!$B$59)*(1+'Inflation-Interest'!$B$60)* ('Prediction Results (Transposed)'!O$3*($B$8/12*$B$5)+ 'Prediction Results (Transposed)'!O$4*($B$9/12*$B$6)+ 'Prediction Results (Transposed)'!O$5*($B$10/12*$B$7))*AG9/AG47*(1+$B$15)^($AA104-$AA$99)*1/$B$14</f>
        <v>665734.42885248305</v>
      </c>
    </row>
    <row r="105" spans="1:33">
      <c r="A105" s="256"/>
      <c r="B105" s="257"/>
      <c r="C105" s="193">
        <v>2026</v>
      </c>
      <c r="D105" s="63">
        <f>('Demographic-Economic'!B$14+'Demographic-Economic'!B$15+'Demographic-Economic'!B$16)*1000*(1+'Inflation-Interest'!$B$58)*(1+'Inflation-Interest'!$B$59)*(1+'Inflation-Interest'!$B$60)* ('Prediction Results (Transposed)'!J$3*($B$8/12)*$B$5+ 'Prediction Results (Transposed)'!J$4*($B$9/12)*$B$6+ 'Prediction Results (Transposed)'!J$5*($B$10/12)*$B$7)*D10/D48*(1+$B$15)^($C105-$C$99)*1/$B$14</f>
        <v>114508652.08815196</v>
      </c>
      <c r="E105" s="63">
        <f>('Demographic-Economic'!C$14+'Demographic-Economic'!C$15+'Demographic-Economic'!C$16)*1000*(1+'Inflation-Interest'!$B$58)*(1+'Inflation-Interest'!$B$59)*(1+'Inflation-Interest'!$B$60)* ('Prediction Results (Transposed)'!K$3*($B$8/12)*$B$5+ 'Prediction Results (Transposed)'!K$4*($B$9/12)*$B$6+ 'Prediction Results (Transposed)'!K$5*($B$10/12)*$B$7)*E10/E48*(1+$B$15)^($C105-$C$99)*1/$B$14</f>
        <v>147105017.23985672</v>
      </c>
      <c r="F105" s="63">
        <f>('Demographic-Economic'!D$14+'Demographic-Economic'!D$15+'Demographic-Economic'!D$16)*1000*(1+'Inflation-Interest'!$B$58)*(1+'Inflation-Interest'!$B$59)*(1+'Inflation-Interest'!$B$60)* ('Prediction Results (Transposed)'!L$3*($B$8/12)*$B$5+ 'Prediction Results (Transposed)'!L$4*($B$9/12)*$B$6+ 'Prediction Results (Transposed)'!L$5*($B$10/12)*$B$7)*F10/F48*(1+$B$15)^($C105-$C$99)*1/$B$14</f>
        <v>7305668.8081630617</v>
      </c>
      <c r="G105" s="63">
        <f>('Demographic-Economic'!E$14+'Demographic-Economic'!E$15+'Demographic-Economic'!E$16)*1000*(1+'Inflation-Interest'!$B$58)*(1+'Inflation-Interest'!$B$59)*(1+'Inflation-Interest'!$B$60)* ('Prediction Results (Transposed)'!M$3*($B$8/12)*$B$5+ 'Prediction Results (Transposed)'!M$4*($B$9/12)*$B$6+ 'Prediction Results (Transposed)'!M$5*($B$10/12)*$B$7)*G10/G48*(1+$B$15)^($C105-$C$99)*1/$B$14</f>
        <v>865876.02169100544</v>
      </c>
      <c r="H105" s="63">
        <f>('Demographic-Economic'!F$14+'Demographic-Economic'!F$15+'Demographic-Economic'!F$16)*1000*(1+'Inflation-Interest'!$B$58)*(1+'Inflation-Interest'!$B$59)*(1+'Inflation-Interest'!$B$60)* ('Prediction Results (Transposed)'!N$3*($B$8/12)*$B$5+ 'Prediction Results (Transposed)'!N$4*($B$9/12)*$B$6+ 'Prediction Results (Transposed)'!N$5*($B$10/12)*$B$7)*H10/H48*(1+$B$15)^($C105-$C$99)*1/$B$14</f>
        <v>2653772.3643353037</v>
      </c>
      <c r="I105" s="63">
        <f>('Demographic-Economic'!G$14+'Demographic-Economic'!G$15+'Demographic-Economic'!G$16)*1000*(1+'Inflation-Interest'!$B$58)*(1+'Inflation-Interest'!$B$59)*(1+'Inflation-Interest'!$B$60)* ('Prediction Results (Transposed)'!O$3*($B$8/12)*$B$5+ 'Prediction Results (Transposed)'!O$4*($B$9/12)*$B$6+ 'Prediction Results (Transposed)'!O$5*($B$10/12)*$B$7)*I10/I48*(1+$B$15)^($C105-$C$99)*1/$B$14</f>
        <v>661341.3060755278</v>
      </c>
      <c r="K105" s="193">
        <v>2026</v>
      </c>
      <c r="L105" s="63">
        <f>('Demographic-Economic'!B$14+'Demographic-Economic'!B$15+'Demographic-Economic'!B$16)*1000*(1+'Inflation-Interest'!$B$58)*(1+'Inflation-Interest'!$B$59)*(1+'Inflation-Interest'!$B$60)* ('Prediction Results (Transposed)'!J$3*($B$8/12)*$B$5+ 'Prediction Results (Transposed)'!J$4*($B$9/12)*$B$6+ 'Prediction Results (Transposed)'!J$5*($B$10/12)*$B$7)*L10/L48*(1+$B$15)^($K105-$K$99) * 1/$B$14</f>
        <v>116394339.49174593</v>
      </c>
      <c r="M105" s="63">
        <f>('Demographic-Economic'!C$14+'Demographic-Economic'!C$15+'Demographic-Economic'!C$16)*1000*(1+'Inflation-Interest'!$B$58)*(1+'Inflation-Interest'!$B$59)*(1+'Inflation-Interest'!$B$60)* ('Prediction Results (Transposed)'!K$3*($B$8/12)*$B$5+ 'Prediction Results (Transposed)'!K$4*($B$9/12)*$B$6+ 'Prediction Results (Transposed)'!K$5*($B$10/12)*$B$7)*M10/M48*(1+$B$15)^($K105-$K$99) * 1/$B$14</f>
        <v>149527489.89110342</v>
      </c>
      <c r="N105" s="63">
        <f>('Demographic-Economic'!D$14+'Demographic-Economic'!D$15+'Demographic-Economic'!D$16)*1000*(1+'Inflation-Interest'!$B$58)*(1+'Inflation-Interest'!$B$59)*(1+'Inflation-Interest'!$B$60)* ('Prediction Results (Transposed)'!L$3*($B$8/12)*$B$5+ 'Prediction Results (Transposed)'!L$4*($B$9/12)*$B$6+ 'Prediction Results (Transposed)'!L$5*($B$10/12)*$B$7)*N10/N48*(1+$B$15)^($K105-$K$99) * 1/$B$14</f>
        <v>7425975.9412500607</v>
      </c>
      <c r="O105" s="63">
        <f>('Demographic-Economic'!E$14+'Demographic-Economic'!E$15+'Demographic-Economic'!E$16)*1000*(1+'Inflation-Interest'!$B$58)*(1+'Inflation-Interest'!$B$59)*(1+'Inflation-Interest'!$B$60)* ('Prediction Results (Transposed)'!M$3*($B$8/12)*$B$5+ 'Prediction Results (Transposed)'!M$4*($B$9/12)*$B$6+ 'Prediction Results (Transposed)'!M$5*($B$10/12)*$B$7)*O10/O48*(1+$B$15)^($K105-$K$99) * 1/$B$14</f>
        <v>880134.95739063981</v>
      </c>
      <c r="P105" s="63">
        <f>('Demographic-Economic'!F$14+'Demographic-Economic'!F$15+'Demographic-Economic'!F$16)*1000*(1+'Inflation-Interest'!$B$58)*(1+'Inflation-Interest'!$B$59)*(1+'Inflation-Interest'!$B$60)* ('Prediction Results (Transposed)'!N$3*($B$8/12)*$B$5+ 'Prediction Results (Transposed)'!N$4*($B$9/12)*$B$6+ 'Prediction Results (Transposed)'!N$5*($B$10/12)*$B$7)*P10/P48*(1+$B$15)^($K105-$K$99) * 1/$B$14</f>
        <v>2697473.7356131757</v>
      </c>
      <c r="Q105" s="63">
        <f>('Demographic-Economic'!G$14+'Demographic-Economic'!G$15+'Demographic-Economic'!G$16)*1000*(1+'Inflation-Interest'!$B$58)*(1+'Inflation-Interest'!$B$59)*(1+'Inflation-Interest'!$B$60)* ('Prediction Results (Transposed)'!O$3*($B$8/12)*$B$5+ 'Prediction Results (Transposed)'!O$4*($B$9/12)*$B$6+ 'Prediction Results (Transposed)'!O$5*($B$10/12)*$B$7)*Q10/Q48*(1+$B$15)^($K105-$K$99) * 1/$B$14</f>
        <v>672232.03745347622</v>
      </c>
      <c r="S105" s="193">
        <v>2026</v>
      </c>
      <c r="T105" s="63">
        <f>('Demographic-Economic'!B$14+'Demographic-Economic'!B$15+'Demographic-Economic'!B$16)*1000*(1+'Inflation-Interest'!$B$58)*(1+'Inflation-Interest'!$B$59)*(1+'Inflation-Interest'!$B$60)* ('Prediction Results (Transposed)'!J$3*($B$8/12*$B$5)+ 'Prediction Results (Transposed)'!J$4*($B$9/12*$B$6)+ 'Prediction Results (Transposed)'!J$5*($B$10/12*$B$7))*T10/T48*(1+$B$15)^($S105-$S$99) * 1/$B$14</f>
        <v>120750389.2984581</v>
      </c>
      <c r="U105" s="63">
        <f>('Demographic-Economic'!C$14+'Demographic-Economic'!C$15+'Demographic-Economic'!C$16)*1000*(1+'Inflation-Interest'!$B$58)*(1+'Inflation-Interest'!$B$59)*(1+'Inflation-Interest'!$B$60)* ('Prediction Results (Transposed)'!K$3*($B$8/12*$B$5)+ 'Prediction Results (Transposed)'!K$4*($B$9/12*$B$6)+ 'Prediction Results (Transposed)'!K$5*($B$10/12*$B$7))*U10/U48*(1+$B$15)^($S105-$S$99) * 1/$B$14</f>
        <v>155123545.47492746</v>
      </c>
      <c r="V105" s="63">
        <f>('Demographic-Economic'!D$14+'Demographic-Economic'!D$15+'Demographic-Economic'!D$16)*1000*(1+'Inflation-Interest'!$B$58)*(1+'Inflation-Interest'!$B$59)*(1+'Inflation-Interest'!$B$60)* ('Prediction Results (Transposed)'!L$3*($B$8/12*$B$5)+ 'Prediction Results (Transposed)'!L$4*($B$9/12*$B$6)+ 'Prediction Results (Transposed)'!L$5*($B$10/12*$B$7))*V10/V48*(1+$B$15)^($S105-$S$99) * 1/$B$14</f>
        <v>7703892.5581988208</v>
      </c>
      <c r="W105" s="63">
        <f>('Demographic-Economic'!E$14+'Demographic-Economic'!E$15+'Demographic-Economic'!E$16)*1000*(1+'Inflation-Interest'!$B$58)*(1+'Inflation-Interest'!$B$59)*(1+'Inflation-Interest'!$B$60)* ('Prediction Results (Transposed)'!M$3*($B$8/12*$B$5)+ 'Prediction Results (Transposed)'!M$4*($B$9/12*$B$6)+ 'Prediction Results (Transposed)'!M$5*($B$10/12*$B$7))*W10/W48*(1+$B$15)^($S105-$S$99) * 1/$B$14</f>
        <v>913073.94504041318</v>
      </c>
      <c r="X105" s="63">
        <f>('Demographic-Economic'!F$14+'Demographic-Economic'!F$15+'Demographic-Economic'!F$16)*1000*(1+'Inflation-Interest'!$B$58)*(1+'Inflation-Interest'!$B$59)*(1+'Inflation-Interest'!$B$60)* ('Prediction Results (Transposed)'!N$3*($B$8/12*$B$5)+ 'Prediction Results (Transposed)'!N$4*($B$9/12*$B$6)+ 'Prediction Results (Transposed)'!N$5*($B$10/12*$B$7))*X10/X48*(1+$B$15)^($S105-$S$99) * 1/$B$14</f>
        <v>2798426.4966833317</v>
      </c>
      <c r="Y105" s="63">
        <f>('Demographic-Economic'!G$14+'Demographic-Economic'!G$15+'Demographic-Economic'!G$16)*1000*(1+'Inflation-Interest'!$B$58)*(1+'Inflation-Interest'!$B$59)*(1+'Inflation-Interest'!$B$60)* ('Prediction Results (Transposed)'!O$3*($B$8/12*$B$5)+ 'Prediction Results (Transposed)'!O$4*($B$9/12*$B$6)+ 'Prediction Results (Transposed)'!O$5*($B$10/12*$B$7))*Y10/Y48*(1+$B$15)^($S105-$S$99) * 1/$B$14</f>
        <v>697390.27323712083</v>
      </c>
      <c r="AA105" s="193">
        <v>2026</v>
      </c>
      <c r="AB105" s="63">
        <f>('Demographic-Economic'!B$14+'Demographic-Economic'!B$15+'Demographic-Economic'!B$16)*1000*(1+'Inflation-Interest'!$B$58)*(1+'Inflation-Interest'!$B$59)*(1+'Inflation-Interest'!$B$60)* ('Prediction Results (Transposed)'!J$3*($B$8/12*$B$5)+ 'Prediction Results (Transposed)'!J$4*($B$9/12*$B$6)+ 'Prediction Results (Transposed)'!J$5*($B$10/12*$B$7))*AB10/AB48*(1+$B$15)^($AA105-$AA$99)*1/$B$14</f>
        <v>123527790.02114142</v>
      </c>
      <c r="AC105" s="63">
        <f>('Demographic-Economic'!C$14+'Demographic-Economic'!C$15+'Demographic-Economic'!C$16)*1000*(1+'Inflation-Interest'!$B$58)*(1+'Inflation-Interest'!$B$59)*(1+'Inflation-Interest'!$B$60)* ('Prediction Results (Transposed)'!K$3*($B$8/12*$B$5)+ 'Prediction Results (Transposed)'!K$4*($B$9/12*$B$6)+ 'Prediction Results (Transposed)'!K$5*($B$10/12*$B$7))*AC10/AC48*(1+$B$15)^($AA105-$AA$99)*1/$B$14</f>
        <v>158691569.1459929</v>
      </c>
      <c r="AD105" s="63">
        <f>('Demographic-Economic'!D$14+'Demographic-Economic'!D$15+'Demographic-Economic'!D$16)*1000*(1+'Inflation-Interest'!$B$58)*(1+'Inflation-Interest'!$B$59)*(1+'Inflation-Interest'!$B$60)* ('Prediction Results (Transposed)'!L$3*($B$8/12*$B$5)+ 'Prediction Results (Transposed)'!L$4*($B$9/12*$B$6)+ 'Prediction Results (Transposed)'!L$5*($B$10/12*$B$7))*AD10/AD48*(1+$B$15)^($AA105-$AA$99)*1/$B$14</f>
        <v>7881091.1319088396</v>
      </c>
      <c r="AE105" s="63">
        <f>('Demographic-Economic'!E$14+'Demographic-Economic'!E$15+'Demographic-Economic'!E$16)*1000*(1+'Inflation-Interest'!$B$58)*(1+'Inflation-Interest'!$B$59)*(1+'Inflation-Interest'!$B$60)* ('Prediction Results (Transposed)'!M$3*($B$8/12*$B$5)+ 'Prediction Results (Transposed)'!M$4*($B$9/12*$B$6)+ 'Prediction Results (Transposed)'!M$5*($B$10/12*$B$7))*AE10/AE48*(1+$B$15)^($AA105-$AA$99)*1/$B$14</f>
        <v>934075.71778460208</v>
      </c>
      <c r="AF105" s="63">
        <f>('Demographic-Economic'!F$14+'Demographic-Economic'!F$15+'Demographic-Economic'!F$16)*1000*(1+'Inflation-Interest'!$B$58)*(1+'Inflation-Interest'!$B$59)*(1+'Inflation-Interest'!$B$60)* ('Prediction Results (Transposed)'!N$3*($B$8/12*$B$5)+ 'Prediction Results (Transposed)'!N$4*($B$9/12*$B$6)+ 'Prediction Results (Transposed)'!N$5*($B$10/12*$B$7))*AF10/AF48*(1+$B$15)^($AA105-$AA$99)*1/$B$14</f>
        <v>2862793.5916419546</v>
      </c>
      <c r="AG105" s="63">
        <f>('Demographic-Economic'!G$14+'Demographic-Economic'!G$15+'Demographic-Economic'!G$16)*1000*(1+'Inflation-Interest'!$B$58)*(1+'Inflation-Interest'!$B$59)*(1+'Inflation-Interest'!$B$60)* ('Prediction Results (Transposed)'!O$3*($B$8/12*$B$5)+ 'Prediction Results (Transposed)'!O$4*($B$9/12*$B$6)+ 'Prediction Results (Transposed)'!O$5*($B$10/12*$B$7))*AG10/AG48*(1+$B$15)^($AA105-$AA$99)*1/$B$14</f>
        <v>713431.06830316084</v>
      </c>
    </row>
    <row r="106" spans="1:33">
      <c r="A106" s="256"/>
      <c r="B106" s="257"/>
      <c r="C106" s="193">
        <v>2027</v>
      </c>
      <c r="D106" s="63">
        <f>('Demographic-Economic'!B$14+'Demographic-Economic'!B$15+'Demographic-Economic'!B$16)*1000*(1+'Inflation-Interest'!$B$58)*(1+'Inflation-Interest'!$B$59)*(1+'Inflation-Interest'!$B$60)* ('Prediction Results (Transposed)'!J$3*($B$8/12)*$B$5+ 'Prediction Results (Transposed)'!J$4*($B$9/12)*$B$6+ 'Prediction Results (Transposed)'!J$5*($B$10/12)*$B$7)*D11/D49*(1+$B$15)^($C106-$C$99)*1/$B$14</f>
        <v>121248541.47261547</v>
      </c>
      <c r="E106" s="63">
        <f>('Demographic-Economic'!C$14+'Demographic-Economic'!C$15+'Demographic-Economic'!C$16)*1000*(1+'Inflation-Interest'!$B$58)*(1+'Inflation-Interest'!$B$59)*(1+'Inflation-Interest'!$B$60)* ('Prediction Results (Transposed)'!K$3*($B$8/12)*$B$5+ 'Prediction Results (Transposed)'!K$4*($B$9/12)*$B$6+ 'Prediction Results (Transposed)'!K$5*($B$10/12)*$B$7)*E11/E49*(1+$B$15)^($C106-$C$99)*1/$B$14</f>
        <v>155763503.09237525</v>
      </c>
      <c r="F106" s="63">
        <f>('Demographic-Economic'!D$14+'Demographic-Economic'!D$15+'Demographic-Economic'!D$16)*1000*(1+'Inflation-Interest'!$B$58)*(1+'Inflation-Interest'!$B$59)*(1+'Inflation-Interest'!$B$60)* ('Prediction Results (Transposed)'!L$3*($B$8/12)*$B$5+ 'Prediction Results (Transposed)'!L$4*($B$9/12)*$B$6+ 'Prediction Results (Transposed)'!L$5*($B$10/12)*$B$7)*F11/F49*(1+$B$15)^($C106-$C$99)*1/$B$14</f>
        <v>7735674.7400173508</v>
      </c>
      <c r="G106" s="63">
        <f>('Demographic-Economic'!E$14+'Demographic-Economic'!E$15+'Demographic-Economic'!E$16)*1000*(1+'Inflation-Interest'!$B$58)*(1+'Inflation-Interest'!$B$59)*(1+'Inflation-Interest'!$B$60)* ('Prediction Results (Transposed)'!M$3*($B$8/12)*$B$5+ 'Prediction Results (Transposed)'!M$4*($B$9/12)*$B$6+ 'Prediction Results (Transposed)'!M$5*($B$10/12)*$B$7)*G11/G49*(1+$B$15)^($C106-$C$99)*1/$B$14</f>
        <v>916840.80470464227</v>
      </c>
      <c r="H106" s="63">
        <f>('Demographic-Economic'!F$14+'Demographic-Economic'!F$15+'Demographic-Economic'!F$16)*1000*(1+'Inflation-Interest'!$B$58)*(1+'Inflation-Interest'!$B$59)*(1+'Inflation-Interest'!$B$60)* ('Prediction Results (Transposed)'!N$3*($B$8/12)*$B$5+ 'Prediction Results (Transposed)'!N$4*($B$9/12)*$B$6+ 'Prediction Results (Transposed)'!N$5*($B$10/12)*$B$7)*H11/H49*(1+$B$15)^($C106-$C$99)*1/$B$14</f>
        <v>2809971.322763327</v>
      </c>
      <c r="I106" s="63">
        <f>('Demographic-Economic'!G$14+'Demographic-Economic'!G$15+'Demographic-Economic'!G$16)*1000*(1+'Inflation-Interest'!$B$58)*(1+'Inflation-Interest'!$B$59)*(1+'Inflation-Interest'!$B$60)* ('Prediction Results (Transposed)'!O$3*($B$8/12)*$B$5+ 'Prediction Results (Transposed)'!O$4*($B$9/12)*$B$6+ 'Prediction Results (Transposed)'!O$5*($B$10/12)*$B$7)*I11/I49*(1+$B$15)^($C106-$C$99)*1/$B$14</f>
        <v>700267.33626662882</v>
      </c>
      <c r="K106" s="193">
        <v>2027</v>
      </c>
      <c r="L106" s="63">
        <f>('Demographic-Economic'!B$14+'Demographic-Economic'!B$15+'Demographic-Economic'!B$16)*1000*(1+'Inflation-Interest'!$B$58)*(1+'Inflation-Interest'!$B$59)*(1+'Inflation-Interest'!$B$60)* ('Prediction Results (Transposed)'!J$3*($B$8/12)*$B$5+ 'Prediction Results (Transposed)'!J$4*($B$9/12)*$B$6+ 'Prediction Results (Transposed)'!J$5*($B$10/12)*$B$7)*L11/L49*(1+$B$15)^($K106-$K$99) * 1/$B$14</f>
        <v>123555885.70406067</v>
      </c>
      <c r="M106" s="63">
        <f>('Demographic-Economic'!C$14+'Demographic-Economic'!C$15+'Demographic-Economic'!C$16)*1000*(1+'Inflation-Interest'!$B$58)*(1+'Inflation-Interest'!$B$59)*(1+'Inflation-Interest'!$B$60)* ('Prediction Results (Transposed)'!K$3*($B$8/12)*$B$5+ 'Prediction Results (Transposed)'!K$4*($B$9/12)*$B$6+ 'Prediction Results (Transposed)'!K$5*($B$10/12)*$B$7)*M11/M49*(1+$B$15)^($K106-$K$99) * 1/$B$14</f>
        <v>158727662.62753192</v>
      </c>
      <c r="N106" s="63">
        <f>('Demographic-Economic'!D$14+'Demographic-Economic'!D$15+'Demographic-Economic'!D$16)*1000*(1+'Inflation-Interest'!$B$58)*(1+'Inflation-Interest'!$B$59)*(1+'Inflation-Interest'!$B$60)* ('Prediction Results (Transposed)'!L$3*($B$8/12)*$B$5+ 'Prediction Results (Transposed)'!L$4*($B$9/12)*$B$6+ 'Prediction Results (Transposed)'!L$5*($B$10/12)*$B$7)*N11/N49*(1+$B$15)^($K106-$K$99) * 1/$B$14</f>
        <v>7882883.640602326</v>
      </c>
      <c r="O106" s="63">
        <f>('Demographic-Economic'!E$14+'Demographic-Economic'!E$15+'Demographic-Economic'!E$16)*1000*(1+'Inflation-Interest'!$B$58)*(1+'Inflation-Interest'!$B$59)*(1+'Inflation-Interest'!$B$60)* ('Prediction Results (Transposed)'!M$3*($B$8/12)*$B$5+ 'Prediction Results (Transposed)'!M$4*($B$9/12)*$B$6+ 'Prediction Results (Transposed)'!M$5*($B$10/12)*$B$7)*O11/O49*(1+$B$15)^($K106-$K$99) * 1/$B$14</f>
        <v>934288.16791574261</v>
      </c>
      <c r="P106" s="63">
        <f>('Demographic-Economic'!F$14+'Demographic-Economic'!F$15+'Demographic-Economic'!F$16)*1000*(1+'Inflation-Interest'!$B$58)*(1+'Inflation-Interest'!$B$59)*(1+'Inflation-Interest'!$B$60)* ('Prediction Results (Transposed)'!N$3*($B$8/12)*$B$5+ 'Prediction Results (Transposed)'!N$4*($B$9/12)*$B$6+ 'Prediction Results (Transposed)'!N$5*($B$10/12)*$B$7)*P11/P49*(1+$B$15)^($K106-$K$99) * 1/$B$14</f>
        <v>2863444.7175222137</v>
      </c>
      <c r="Q106" s="63">
        <f>('Demographic-Economic'!G$14+'Demographic-Economic'!G$15+'Demographic-Economic'!G$16)*1000*(1+'Inflation-Interest'!$B$58)*(1+'Inflation-Interest'!$B$59)*(1+'Inflation-Interest'!$B$60)* ('Prediction Results (Transposed)'!O$3*($B$8/12)*$B$5+ 'Prediction Results (Transposed)'!O$4*($B$9/12)*$B$6+ 'Prediction Results (Transposed)'!O$5*($B$10/12)*$B$7)*Q11/Q49*(1+$B$15)^($K106-$K$99) * 1/$B$14</f>
        <v>713593.33408219216</v>
      </c>
      <c r="S106" s="193">
        <v>2027</v>
      </c>
      <c r="T106" s="63">
        <f>('Demographic-Economic'!B$14+'Demographic-Economic'!B$15+'Demographic-Economic'!B$16)*1000*(1+'Inflation-Interest'!$B$58)*(1+'Inflation-Interest'!$B$59)*(1+'Inflation-Interest'!$B$60)* ('Prediction Results (Transposed)'!J$3*($B$8/12*$B$5)+ 'Prediction Results (Transposed)'!J$4*($B$9/12*$B$6)+ 'Prediction Results (Transposed)'!J$5*($B$10/12*$B$7))*T11/T49*(1+$B$15)^($S106-$S$99) * 1/$B$14</f>
        <v>128896844.05405466</v>
      </c>
      <c r="U106" s="63">
        <f>('Demographic-Economic'!C$14+'Demographic-Economic'!C$15+'Demographic-Economic'!C$16)*1000*(1+'Inflation-Interest'!$B$58)*(1+'Inflation-Interest'!$B$59)*(1+'Inflation-Interest'!$B$60)* ('Prediction Results (Transposed)'!K$3*($B$8/12*$B$5)+ 'Prediction Results (Transposed)'!K$4*($B$9/12*$B$6)+ 'Prediction Results (Transposed)'!K$5*($B$10/12*$B$7))*U11/U49*(1+$B$15)^($S106-$S$99) * 1/$B$14</f>
        <v>165588993.67829287</v>
      </c>
      <c r="V106" s="63">
        <f>('Demographic-Economic'!D$14+'Demographic-Economic'!D$15+'Demographic-Economic'!D$16)*1000*(1+'Inflation-Interest'!$B$58)*(1+'Inflation-Interest'!$B$59)*(1+'Inflation-Interest'!$B$60)* ('Prediction Results (Transposed)'!L$3*($B$8/12*$B$5)+ 'Prediction Results (Transposed)'!L$4*($B$9/12*$B$6)+ 'Prediction Results (Transposed)'!L$5*($B$10/12*$B$7))*V11/V49*(1+$B$15)^($S106-$S$99) * 1/$B$14</f>
        <v>8223637.5671546282</v>
      </c>
      <c r="W106" s="63">
        <f>('Demographic-Economic'!E$14+'Demographic-Economic'!E$15+'Demographic-Economic'!E$16)*1000*(1+'Inflation-Interest'!$B$58)*(1+'Inflation-Interest'!$B$59)*(1+'Inflation-Interest'!$B$60)* ('Prediction Results (Transposed)'!M$3*($B$8/12*$B$5)+ 'Prediction Results (Transposed)'!M$4*($B$9/12*$B$6)+ 'Prediction Results (Transposed)'!M$5*($B$10/12*$B$7))*W11/W49*(1+$B$15)^($S106-$S$99) * 1/$B$14</f>
        <v>974674.70363838831</v>
      </c>
      <c r="X106" s="63">
        <f>('Demographic-Economic'!F$14+'Demographic-Economic'!F$15+'Demographic-Economic'!F$16)*1000*(1+'Inflation-Interest'!$B$58)*(1+'Inflation-Interest'!$B$59)*(1+'Inflation-Interest'!$B$60)* ('Prediction Results (Transposed)'!N$3*($B$8/12*$B$5)+ 'Prediction Results (Transposed)'!N$4*($B$9/12*$B$6)+ 'Prediction Results (Transposed)'!N$5*($B$10/12*$B$7))*X11/X49*(1+$B$15)^($S106-$S$99) * 1/$B$14</f>
        <v>2987223.0295520215</v>
      </c>
      <c r="Y106" s="63">
        <f>('Demographic-Economic'!G$14+'Demographic-Economic'!G$15+'Demographic-Economic'!G$16)*1000*(1+'Inflation-Interest'!$B$58)*(1+'Inflation-Interest'!$B$59)*(1+'Inflation-Interest'!$B$60)* ('Prediction Results (Transposed)'!O$3*($B$8/12*$B$5)+ 'Prediction Results (Transposed)'!O$4*($B$9/12*$B$6)+ 'Prediction Results (Transposed)'!O$5*($B$10/12*$B$7))*Y11/Y49*(1+$B$15)^($S106-$S$99) * 1/$B$14</f>
        <v>744439.8797926493</v>
      </c>
      <c r="AA106" s="193">
        <v>2027</v>
      </c>
      <c r="AB106" s="63">
        <f>('Demographic-Economic'!B$14+'Demographic-Economic'!B$15+'Demographic-Economic'!B$16)*1000*(1+'Inflation-Interest'!$B$58)*(1+'Inflation-Interest'!$B$59)*(1+'Inflation-Interest'!$B$60)* ('Prediction Results (Transposed)'!J$3*($B$8/12*$B$5)+ 'Prediction Results (Transposed)'!J$4*($B$9/12*$B$6)+ 'Prediction Results (Transposed)'!J$5*($B$10/12*$B$7))*AB11/AB49*(1+$B$15)^($AA106-$AA$99)*1/$B$14</f>
        <v>132309834.98943801</v>
      </c>
      <c r="AC106" s="63">
        <f>('Demographic-Economic'!C$14+'Demographic-Economic'!C$15+'Demographic-Economic'!C$16)*1000*(1+'Inflation-Interest'!$B$58)*(1+'Inflation-Interest'!$B$59)*(1+'Inflation-Interest'!$B$60)* ('Prediction Results (Transposed)'!K$3*($B$8/12*$B$5)+ 'Prediction Results (Transposed)'!K$4*($B$9/12*$B$6)+ 'Prediction Results (Transposed)'!K$5*($B$10/12*$B$7))*AC11/AC49*(1+$B$15)^($AA106-$AA$99)*1/$B$14</f>
        <v>169973536.51617849</v>
      </c>
      <c r="AD106" s="63">
        <f>('Demographic-Economic'!D$14+'Demographic-Economic'!D$15+'Demographic-Economic'!D$16)*1000*(1+'Inflation-Interest'!$B$58)*(1+'Inflation-Interest'!$B$59)*(1+'Inflation-Interest'!$B$60)* ('Prediction Results (Transposed)'!L$3*($B$8/12*$B$5)+ 'Prediction Results (Transposed)'!L$4*($B$9/12*$B$6)+ 'Prediction Results (Transposed)'!L$5*($B$10/12*$B$7))*AD11/AD49*(1+$B$15)^($AA106-$AA$99)*1/$B$14</f>
        <v>8441386.8897121754</v>
      </c>
      <c r="AE106" s="63">
        <f>('Demographic-Economic'!E$14+'Demographic-Economic'!E$15+'Demographic-Economic'!E$16)*1000*(1+'Inflation-Interest'!$B$58)*(1+'Inflation-Interest'!$B$59)*(1+'Inflation-Interest'!$B$60)* ('Prediction Results (Transposed)'!M$3*($B$8/12*$B$5)+ 'Prediction Results (Transposed)'!M$4*($B$9/12*$B$6)+ 'Prediction Results (Transposed)'!M$5*($B$10/12*$B$7))*AE11/AE49*(1+$B$15)^($AA106-$AA$99)*1/$B$14</f>
        <v>1000482.5963985106</v>
      </c>
      <c r="AF106" s="63">
        <f>('Demographic-Economic'!F$14+'Demographic-Economic'!F$15+'Demographic-Economic'!F$16)*1000*(1+'Inflation-Interest'!$B$58)*(1+'Inflation-Interest'!$B$59)*(1+'Inflation-Interest'!$B$60)* ('Prediction Results (Transposed)'!N$3*($B$8/12*$B$5)+ 'Prediction Results (Transposed)'!N$4*($B$9/12*$B$6)+ 'Prediction Results (Transposed)'!N$5*($B$10/12*$B$7))*AF11/AF49*(1+$B$15)^($AA106-$AA$99)*1/$B$14</f>
        <v>3066320.1183647919</v>
      </c>
      <c r="AG106" s="63">
        <f>('Demographic-Economic'!G$14+'Demographic-Economic'!G$15+'Demographic-Economic'!G$16)*1000*(1+'Inflation-Interest'!$B$58)*(1+'Inflation-Interest'!$B$59)*(1+'Inflation-Interest'!$B$60)* ('Prediction Results (Transposed)'!O$3*($B$8/12*$B$5)+ 'Prediction Results (Transposed)'!O$4*($B$9/12*$B$6)+ 'Prediction Results (Transposed)'!O$5*($B$10/12*$B$7))*AG11/AG49*(1+$B$15)^($AA106-$AA$99)*1/$B$14</f>
        <v>764151.50718210393</v>
      </c>
    </row>
    <row r="107" spans="1:33">
      <c r="A107" s="256"/>
      <c r="B107" s="257"/>
      <c r="C107" s="193">
        <v>2028</v>
      </c>
      <c r="D107" s="63">
        <f>('Demographic-Economic'!B$14+'Demographic-Economic'!B$15+'Demographic-Economic'!B$16)*1000*(1+'Inflation-Interest'!$B$58)*(1+'Inflation-Interest'!$B$59)*(1+'Inflation-Interest'!$B$60)* ('Prediction Results (Transposed)'!J$3*($B$8/12)*$B$5+ 'Prediction Results (Transposed)'!J$4*($B$9/12)*$B$6+ 'Prediction Results (Transposed)'!J$5*($B$10/12)*$B$7)*D12/D50*(1+$B$15)^($C107-$C$99)*1/$B$14</f>
        <v>128358846.81866024</v>
      </c>
      <c r="E107" s="63">
        <f>('Demographic-Economic'!C$14+'Demographic-Economic'!C$15+'Demographic-Economic'!C$16)*1000*(1+'Inflation-Interest'!$B$58)*(1+'Inflation-Interest'!$B$59)*(1+'Inflation-Interest'!$B$60)* ('Prediction Results (Transposed)'!K$3*($B$8/12)*$B$5+ 'Prediction Results (Transposed)'!K$4*($B$9/12)*$B$6+ 'Prediction Results (Transposed)'!K$5*($B$10/12)*$B$7)*E12/E50*(1+$B$15)^($C107-$C$99)*1/$B$14</f>
        <v>164897848.58886534</v>
      </c>
      <c r="F107" s="63">
        <f>('Demographic-Economic'!D$14+'Demographic-Economic'!D$15+'Demographic-Economic'!D$16)*1000*(1+'Inflation-Interest'!$B$58)*(1+'Inflation-Interest'!$B$59)*(1+'Inflation-Interest'!$B$60)* ('Prediction Results (Transposed)'!L$3*($B$8/12)*$B$5+ 'Prediction Results (Transposed)'!L$4*($B$9/12)*$B$6+ 'Prediction Results (Transposed)'!L$5*($B$10/12)*$B$7)*F12/F50*(1+$B$15)^($C107-$C$99)*1/$B$14</f>
        <v>8189313.2645816356</v>
      </c>
      <c r="G107" s="63">
        <f>('Demographic-Economic'!E$14+'Demographic-Economic'!E$15+'Demographic-Economic'!E$16)*1000*(1+'Inflation-Interest'!$B$58)*(1+'Inflation-Interest'!$B$59)*(1+'Inflation-Interest'!$B$60)* ('Prediction Results (Transposed)'!M$3*($B$8/12)*$B$5+ 'Prediction Results (Transposed)'!M$4*($B$9/12)*$B$6+ 'Prediction Results (Transposed)'!M$5*($B$10/12)*$B$7)*G12/G50*(1+$B$15)^($C107-$C$99)*1/$B$14</f>
        <v>970606.54898483888</v>
      </c>
      <c r="H107" s="63">
        <f>('Demographic-Economic'!F$14+'Demographic-Economic'!F$15+'Demographic-Economic'!F$16)*1000*(1+'Inflation-Interest'!$B$58)*(1+'Inflation-Interest'!$B$59)*(1+'Inflation-Interest'!$B$60)* ('Prediction Results (Transposed)'!N$3*($B$8/12)*$B$5+ 'Prediction Results (Transposed)'!N$4*($B$9/12)*$B$6+ 'Prediction Results (Transposed)'!N$5*($B$10/12)*$B$7)*H12/H50*(1+$B$15)^($C107-$C$99)*1/$B$14</f>
        <v>2974754.7822244801</v>
      </c>
      <c r="I107" s="63">
        <f>('Demographic-Economic'!G$14+'Demographic-Economic'!G$15+'Demographic-Economic'!G$16)*1000*(1+'Inflation-Interest'!$B$58)*(1+'Inflation-Interest'!$B$59)*(1+'Inflation-Interest'!$B$60)* ('Prediction Results (Transposed)'!O$3*($B$8/12)*$B$5+ 'Prediction Results (Transposed)'!O$4*($B$9/12)*$B$6+ 'Prediction Results (Transposed)'!O$5*($B$10/12)*$B$7)*I12/I50*(1+$B$15)^($C107-$C$99)*1/$B$14</f>
        <v>741332.69279994164</v>
      </c>
      <c r="K107" s="193">
        <v>2028</v>
      </c>
      <c r="L107" s="63">
        <f>('Demographic-Economic'!B$14+'Demographic-Economic'!B$15+'Demographic-Economic'!B$16)*1000*(1+'Inflation-Interest'!$B$58)*(1+'Inflation-Interest'!$B$59)*(1+'Inflation-Interest'!$B$60)* ('Prediction Results (Transposed)'!J$3*($B$8/12)*$B$5+ 'Prediction Results (Transposed)'!J$4*($B$9/12)*$B$6+ 'Prediction Results (Transposed)'!J$5*($B$10/12)*$B$7)*L12/L50*(1+$B$15)^($K107-$K$99) * 1/$B$14</f>
        <v>131124196.80073687</v>
      </c>
      <c r="M107" s="63">
        <f>('Demographic-Economic'!C$14+'Demographic-Economic'!C$15+'Demographic-Economic'!C$16)*1000*(1+'Inflation-Interest'!$B$58)*(1+'Inflation-Interest'!$B$59)*(1+'Inflation-Interest'!$B$60)* ('Prediction Results (Transposed)'!K$3*($B$8/12)*$B$5+ 'Prediction Results (Transposed)'!K$4*($B$9/12)*$B$6+ 'Prediction Results (Transposed)'!K$5*($B$10/12)*$B$7)*M12/M50*(1+$B$15)^($K107-$K$99) * 1/$B$14</f>
        <v>168450391.12053761</v>
      </c>
      <c r="N107" s="63">
        <f>('Demographic-Economic'!D$14+'Demographic-Economic'!D$15+'Demographic-Economic'!D$16)*1000*(1+'Inflation-Interest'!$B$58)*(1+'Inflation-Interest'!$B$59)*(1+'Inflation-Interest'!$B$60)* ('Prediction Results (Transposed)'!L$3*($B$8/12)*$B$5+ 'Prediction Results (Transposed)'!L$4*($B$9/12)*$B$6+ 'Prediction Results (Transposed)'!L$5*($B$10/12)*$B$7)*N12/N50*(1+$B$15)^($K107-$K$99) * 1/$B$14</f>
        <v>8365742.9992724163</v>
      </c>
      <c r="O107" s="63">
        <f>('Demographic-Economic'!E$14+'Demographic-Economic'!E$15+'Demographic-Economic'!E$16)*1000*(1+'Inflation-Interest'!$B$58)*(1+'Inflation-Interest'!$B$59)*(1+'Inflation-Interest'!$B$60)* ('Prediction Results (Transposed)'!M$3*($B$8/12)*$B$5+ 'Prediction Results (Transposed)'!M$4*($B$9/12)*$B$6+ 'Prediction Results (Transposed)'!M$5*($B$10/12)*$B$7)*O12/O50*(1+$B$15)^($K107-$K$99) * 1/$B$14</f>
        <v>991517.19807029411</v>
      </c>
      <c r="P107" s="63">
        <f>('Demographic-Economic'!F$14+'Demographic-Economic'!F$15+'Demographic-Economic'!F$16)*1000*(1+'Inflation-Interest'!$B$58)*(1+'Inflation-Interest'!$B$59)*(1+'Inflation-Interest'!$B$60)* ('Prediction Results (Transposed)'!N$3*($B$8/12)*$B$5+ 'Prediction Results (Transposed)'!N$4*($B$9/12)*$B$6+ 'Prediction Results (Transposed)'!N$5*($B$10/12)*$B$7)*P12/P50*(1+$B$15)^($K107-$K$99) * 1/$B$14</f>
        <v>3038842.5976543617</v>
      </c>
      <c r="Q107" s="63">
        <f>('Demographic-Economic'!G$14+'Demographic-Economic'!G$15+'Demographic-Economic'!G$16)*1000*(1+'Inflation-Interest'!$B$58)*(1+'Inflation-Interest'!$B$59)*(1+'Inflation-Interest'!$B$60)* ('Prediction Results (Transposed)'!O$3*($B$8/12)*$B$5+ 'Prediction Results (Transposed)'!O$4*($B$9/12)*$B$6+ 'Prediction Results (Transposed)'!O$5*($B$10/12)*$B$7)*Q12/Q50*(1+$B$15)^($K107-$K$99) * 1/$B$14</f>
        <v>757303.88917289884</v>
      </c>
      <c r="S107" s="193">
        <v>2028</v>
      </c>
      <c r="T107" s="63">
        <f>('Demographic-Economic'!B$14+'Demographic-Economic'!B$15+'Demographic-Economic'!B$16)*1000*(1+'Inflation-Interest'!$B$58)*(1+'Inflation-Interest'!$B$59)*(1+'Inflation-Interest'!$B$60)* ('Prediction Results (Transposed)'!J$3*($B$8/12*$B$5)+ 'Prediction Results (Transposed)'!J$4*($B$9/12*$B$6)+ 'Prediction Results (Transposed)'!J$5*($B$10/12*$B$7))*T12/T50*(1+$B$15)^($S107-$S$99) * 1/$B$14</f>
        <v>137538065.15534541</v>
      </c>
      <c r="U107" s="63">
        <f>('Demographic-Economic'!C$14+'Demographic-Economic'!C$15+'Demographic-Economic'!C$16)*1000*(1+'Inflation-Interest'!$B$58)*(1+'Inflation-Interest'!$B$59)*(1+'Inflation-Interest'!$B$60)* ('Prediction Results (Transposed)'!K$3*($B$8/12*$B$5)+ 'Prediction Results (Transposed)'!K$4*($B$9/12*$B$6)+ 'Prediction Results (Transposed)'!K$5*($B$10/12*$B$7))*U12/U50*(1+$B$15)^($S107-$S$99) * 1/$B$14</f>
        <v>176690049.85088855</v>
      </c>
      <c r="V107" s="63">
        <f>('Demographic-Economic'!D$14+'Demographic-Economic'!D$15+'Demographic-Economic'!D$16)*1000*(1+'Inflation-Interest'!$B$58)*(1+'Inflation-Interest'!$B$59)*(1+'Inflation-Interest'!$B$60)* ('Prediction Results (Transposed)'!L$3*($B$8/12*$B$5)+ 'Prediction Results (Transposed)'!L$4*($B$9/12*$B$6)+ 'Prediction Results (Transposed)'!L$5*($B$10/12*$B$7))*V12/V50*(1+$B$15)^($S107-$S$99) * 1/$B$14</f>
        <v>8774948.7415761091</v>
      </c>
      <c r="W107" s="63">
        <f>('Demographic-Economic'!E$14+'Demographic-Economic'!E$15+'Demographic-Economic'!E$16)*1000*(1+'Inflation-Interest'!$B$58)*(1+'Inflation-Interest'!$B$59)*(1+'Inflation-Interest'!$B$60)* ('Prediction Results (Transposed)'!M$3*($B$8/12*$B$5)+ 'Prediction Results (Transposed)'!M$4*($B$9/12*$B$6)+ 'Prediction Results (Transposed)'!M$5*($B$10/12*$B$7))*W12/W50*(1+$B$15)^($S107-$S$99) * 1/$B$14</f>
        <v>1040016.7194013363</v>
      </c>
      <c r="X107" s="63">
        <f>('Demographic-Economic'!F$14+'Demographic-Economic'!F$15+'Demographic-Economic'!F$16)*1000*(1+'Inflation-Interest'!$B$58)*(1+'Inflation-Interest'!$B$59)*(1+'Inflation-Interest'!$B$60)* ('Prediction Results (Transposed)'!N$3*($B$8/12*$B$5)+ 'Prediction Results (Transposed)'!N$4*($B$9/12*$B$6)+ 'Prediction Results (Transposed)'!N$5*($B$10/12*$B$7))*X12/X50*(1+$B$15)^($S107-$S$99) * 1/$B$14</f>
        <v>3187485.9209103347</v>
      </c>
      <c r="Y107" s="63">
        <f>('Demographic-Economic'!G$14+'Demographic-Economic'!G$15+'Demographic-Economic'!G$16)*1000*(1+'Inflation-Interest'!$B$58)*(1+'Inflation-Interest'!$B$59)*(1+'Inflation-Interest'!$B$60)* ('Prediction Results (Transposed)'!O$3*($B$8/12*$B$5)+ 'Prediction Results (Transposed)'!O$4*($B$9/12*$B$6)+ 'Prediction Results (Transposed)'!O$5*($B$10/12*$B$7))*Y12/Y50*(1+$B$15)^($S107-$S$99) * 1/$B$14</f>
        <v>794346.99462634418</v>
      </c>
      <c r="AA107" s="193">
        <v>2028</v>
      </c>
      <c r="AB107" s="63">
        <f>('Demographic-Economic'!B$14+'Demographic-Economic'!B$15+'Demographic-Economic'!B$16)*1000*(1+'Inflation-Interest'!$B$58)*(1+'Inflation-Interest'!$B$59)*(1+'Inflation-Interest'!$B$60)* ('Prediction Results (Transposed)'!J$3*($B$8/12*$B$5)+ 'Prediction Results (Transposed)'!J$4*($B$9/12*$B$6)+ 'Prediction Results (Transposed)'!J$5*($B$10/12*$B$7))*AB12/AB50*(1+$B$15)^($AA107-$AA$99)*1/$B$14</f>
        <v>141645585.28738037</v>
      </c>
      <c r="AC107" s="63">
        <f>('Demographic-Economic'!C$14+'Demographic-Economic'!C$15+'Demographic-Economic'!C$16)*1000*(1+'Inflation-Interest'!$B$58)*(1+'Inflation-Interest'!$B$59)*(1+'Inflation-Interest'!$B$60)* ('Prediction Results (Transposed)'!K$3*($B$8/12*$B$5)+ 'Prediction Results (Transposed)'!K$4*($B$9/12*$B$6)+ 'Prediction Results (Transposed)'!K$5*($B$10/12*$B$7))*AC12/AC50*(1+$B$15)^($AA107-$AA$99)*1/$B$14</f>
        <v>181966828.58172974</v>
      </c>
      <c r="AD107" s="63">
        <f>('Demographic-Economic'!D$14+'Demographic-Economic'!D$15+'Demographic-Economic'!D$16)*1000*(1+'Inflation-Interest'!$B$58)*(1+'Inflation-Interest'!$B$59)*(1+'Inflation-Interest'!$B$60)* ('Prediction Results (Transposed)'!L$3*($B$8/12*$B$5)+ 'Prediction Results (Transposed)'!L$4*($B$9/12*$B$6)+ 'Prediction Results (Transposed)'!L$5*($B$10/12*$B$7))*AD12/AD50*(1+$B$15)^($AA107-$AA$99)*1/$B$14</f>
        <v>9037009.1288070101</v>
      </c>
      <c r="AE107" s="63">
        <f>('Demographic-Economic'!E$14+'Demographic-Economic'!E$15+'Demographic-Economic'!E$16)*1000*(1+'Inflation-Interest'!$B$58)*(1+'Inflation-Interest'!$B$59)*(1+'Inflation-Interest'!$B$60)* ('Prediction Results (Transposed)'!M$3*($B$8/12*$B$5)+ 'Prediction Results (Transposed)'!M$4*($B$9/12*$B$6)+ 'Prediction Results (Transposed)'!M$5*($B$10/12*$B$7))*AE12/AE50*(1+$B$15)^($AA107-$AA$99)*1/$B$14</f>
        <v>1071076.409006312</v>
      </c>
      <c r="AF107" s="63">
        <f>('Demographic-Economic'!F$14+'Demographic-Economic'!F$15+'Demographic-Economic'!F$16)*1000*(1+'Inflation-Interest'!$B$58)*(1+'Inflation-Interest'!$B$59)*(1+'Inflation-Interest'!$B$60)* ('Prediction Results (Transposed)'!N$3*($B$8/12*$B$5)+ 'Prediction Results (Transposed)'!N$4*($B$9/12*$B$6)+ 'Prediction Results (Transposed)'!N$5*($B$10/12*$B$7))*AF12/AF50*(1+$B$15)^($AA107-$AA$99)*1/$B$14</f>
        <v>3282678.9322118191</v>
      </c>
      <c r="AG107" s="63">
        <f>('Demographic-Economic'!G$14+'Demographic-Economic'!G$15+'Demographic-Economic'!G$16)*1000*(1+'Inflation-Interest'!$B$58)*(1+'Inflation-Interest'!$B$59)*(1+'Inflation-Interest'!$B$60)* ('Prediction Results (Transposed)'!O$3*($B$8/12*$B$5)+ 'Prediction Results (Transposed)'!O$4*($B$9/12*$B$6)+ 'Prediction Results (Transposed)'!O$5*($B$10/12*$B$7))*AG12/AG50*(1+$B$15)^($AA107-$AA$99)*1/$B$14</f>
        <v>818069.85468376847</v>
      </c>
    </row>
    <row r="108" spans="1:33">
      <c r="A108" s="256"/>
      <c r="B108" s="257"/>
      <c r="C108" s="193">
        <v>2029</v>
      </c>
      <c r="D108" s="63">
        <f>('Demographic-Economic'!B$14+'Demographic-Economic'!B$15+'Demographic-Economic'!B$16)*1000*(1+'Inflation-Interest'!$B$58)*(1+'Inflation-Interest'!$B$59)*(1+'Inflation-Interest'!$B$60)* ('Prediction Results (Transposed)'!J$3*($B$8/12)*$B$5+ 'Prediction Results (Transposed)'!J$4*($B$9/12)*$B$6+ 'Prediction Results (Transposed)'!J$5*($B$10/12)*$B$7)*D13/D51*(1+$B$15)^($C108-$C$99)*1/$B$14</f>
        <v>135858847.59394032</v>
      </c>
      <c r="E108" s="63">
        <f>('Demographic-Economic'!C$14+'Demographic-Economic'!C$15+'Demographic-Economic'!C$16)*1000*(1+'Inflation-Interest'!$B$58)*(1+'Inflation-Interest'!$B$59)*(1+'Inflation-Interest'!$B$60)* ('Prediction Results (Transposed)'!K$3*($B$8/12)*$B$5+ 'Prediction Results (Transposed)'!K$4*($B$9/12)*$B$6+ 'Prediction Results (Transposed)'!K$5*($B$10/12)*$B$7)*E13/E51*(1+$B$15)^($C108-$C$99)*1/$B$14</f>
        <v>174532821.346183</v>
      </c>
      <c r="F108" s="63">
        <f>('Demographic-Economic'!D$14+'Demographic-Economic'!D$15+'Demographic-Economic'!D$16)*1000*(1+'Inflation-Interest'!$B$58)*(1+'Inflation-Interest'!$B$59)*(1+'Inflation-Interest'!$B$60)* ('Prediction Results (Transposed)'!L$3*($B$8/12)*$B$5+ 'Prediction Results (Transposed)'!L$4*($B$9/12)*$B$6+ 'Prediction Results (Transposed)'!L$5*($B$10/12)*$B$7)*F13/F51*(1+$B$15)^($C108-$C$99)*1/$B$14</f>
        <v>8667814.4147216398</v>
      </c>
      <c r="G108" s="63">
        <f>('Demographic-Economic'!E$14+'Demographic-Economic'!E$15+'Demographic-Economic'!E$16)*1000*(1+'Inflation-Interest'!$B$58)*(1+'Inflation-Interest'!$B$59)*(1+'Inflation-Interest'!$B$60)* ('Prediction Results (Transposed)'!M$3*($B$8/12)*$B$5+ 'Prediction Results (Transposed)'!M$4*($B$9/12)*$B$6+ 'Prediction Results (Transposed)'!M$5*($B$10/12)*$B$7)*G13/G51*(1+$B$15)^($C108-$C$99)*1/$B$14</f>
        <v>1027319.0393997957</v>
      </c>
      <c r="H108" s="63">
        <f>('Demographic-Economic'!F$14+'Demographic-Economic'!F$15+'Demographic-Economic'!F$16)*1000*(1+'Inflation-Interest'!$B$58)*(1+'Inflation-Interest'!$B$59)*(1+'Inflation-Interest'!$B$60)* ('Prediction Results (Transposed)'!N$3*($B$8/12)*$B$5+ 'Prediction Results (Transposed)'!N$4*($B$9/12)*$B$6+ 'Prediction Results (Transposed)'!N$5*($B$10/12)*$B$7)*H13/H51*(1+$B$15)^($C108-$C$99)*1/$B$14</f>
        <v>3148569.5501654157</v>
      </c>
      <c r="I108" s="63">
        <f>('Demographic-Economic'!G$14+'Demographic-Economic'!G$15+'Demographic-Economic'!G$16)*1000*(1+'Inflation-Interest'!$B$58)*(1+'Inflation-Interest'!$B$59)*(1+'Inflation-Interest'!$B$60)* ('Prediction Results (Transposed)'!O$3*($B$8/12)*$B$5+ 'Prediction Results (Transposed)'!O$4*($B$9/12)*$B$6+ 'Prediction Results (Transposed)'!O$5*($B$10/12)*$B$7)*I13/I51*(1+$B$15)^($C108-$C$99)*1/$B$14</f>
        <v>784648.72366608784</v>
      </c>
      <c r="K108" s="193">
        <v>2029</v>
      </c>
      <c r="L108" s="63">
        <f>('Demographic-Economic'!B$14+'Demographic-Economic'!B$15+'Demographic-Economic'!B$16)*1000*(1+'Inflation-Interest'!$B$58)*(1+'Inflation-Interest'!$B$59)*(1+'Inflation-Interest'!$B$60)* ('Prediction Results (Transposed)'!J$3*($B$8/12)*$B$5+ 'Prediction Results (Transposed)'!J$4*($B$9/12)*$B$6+ 'Prediction Results (Transposed)'!J$5*($B$10/12)*$B$7)*L13/L51*(1+$B$15)^($K108-$K$99) * 1/$B$14</f>
        <v>139120962.94415852</v>
      </c>
      <c r="M108" s="63">
        <f>('Demographic-Economic'!C$14+'Demographic-Economic'!C$15+'Demographic-Economic'!C$16)*1000*(1+'Inflation-Interest'!$B$58)*(1+'Inflation-Interest'!$B$59)*(1+'Inflation-Interest'!$B$60)* ('Prediction Results (Transposed)'!K$3*($B$8/12)*$B$5+ 'Prediction Results (Transposed)'!K$4*($B$9/12)*$B$6+ 'Prediction Results (Transposed)'!K$5*($B$10/12)*$B$7)*M13/M51*(1+$B$15)^($K108-$K$99) * 1/$B$14</f>
        <v>178723539.91706297</v>
      </c>
      <c r="N108" s="63">
        <f>('Demographic-Economic'!D$14+'Demographic-Economic'!D$15+'Demographic-Economic'!D$16)*1000*(1+'Inflation-Interest'!$B$58)*(1+'Inflation-Interest'!$B$59)*(1+'Inflation-Interest'!$B$60)* ('Prediction Results (Transposed)'!L$3*($B$8/12)*$B$5+ 'Prediction Results (Transposed)'!L$4*($B$9/12)*$B$6+ 'Prediction Results (Transposed)'!L$5*($B$10/12)*$B$7)*N13/N51*(1+$B$15)^($K108-$K$99) * 1/$B$14</f>
        <v>8875937.8528036177</v>
      </c>
      <c r="O108" s="63">
        <f>('Demographic-Economic'!E$14+'Demographic-Economic'!E$15+'Demographic-Economic'!E$16)*1000*(1+'Inflation-Interest'!$B$58)*(1+'Inflation-Interest'!$B$59)*(1+'Inflation-Interest'!$B$60)* ('Prediction Results (Transposed)'!M$3*($B$8/12)*$B$5+ 'Prediction Results (Transposed)'!M$4*($B$9/12)*$B$6+ 'Prediction Results (Transposed)'!M$5*($B$10/12)*$B$7)*O13/O51*(1+$B$15)^($K108-$K$99) * 1/$B$14</f>
        <v>1051986.0615875137</v>
      </c>
      <c r="P108" s="63">
        <f>('Demographic-Economic'!F$14+'Demographic-Economic'!F$15+'Demographic-Economic'!F$16)*1000*(1+'Inflation-Interest'!$B$58)*(1+'Inflation-Interest'!$B$59)*(1+'Inflation-Interest'!$B$60)* ('Prediction Results (Transposed)'!N$3*($B$8/12)*$B$5+ 'Prediction Results (Transposed)'!N$4*($B$9/12)*$B$6+ 'Prediction Results (Transposed)'!N$5*($B$10/12)*$B$7)*P13/P51*(1+$B$15)^($K108-$K$99) * 1/$B$14</f>
        <v>3224170.0520298406</v>
      </c>
      <c r="Q108" s="63">
        <f>('Demographic-Economic'!G$14+'Demographic-Economic'!G$15+'Demographic-Economic'!G$16)*1000*(1+'Inflation-Interest'!$B$58)*(1+'Inflation-Interest'!$B$59)*(1+'Inflation-Interest'!$B$60)* ('Prediction Results (Transposed)'!O$3*($B$8/12)*$B$5+ 'Prediction Results (Transposed)'!O$4*($B$9/12)*$B$6+ 'Prediction Results (Transposed)'!O$5*($B$10/12)*$B$7)*Q13/Q51*(1+$B$15)^($K108-$K$99) * 1/$B$14</f>
        <v>803488.973611756</v>
      </c>
      <c r="S108" s="193">
        <v>2029</v>
      </c>
      <c r="T108" s="63">
        <f>('Demographic-Economic'!B$14+'Demographic-Economic'!B$15+'Demographic-Economic'!B$16)*1000*(1+'Inflation-Interest'!$B$58)*(1+'Inflation-Interest'!$B$59)*(1+'Inflation-Interest'!$B$60)* ('Prediction Results (Transposed)'!J$3*($B$8/12*$B$5)+ 'Prediction Results (Transposed)'!J$4*($B$9/12*$B$6)+ 'Prediction Results (Transposed)'!J$5*($B$10/12*$B$7))*T13/T51*(1+$B$15)^($S108-$S$99) * 1/$B$14</f>
        <v>146701719.93641499</v>
      </c>
      <c r="U108" s="63">
        <f>('Demographic-Economic'!C$14+'Demographic-Economic'!C$15+'Demographic-Economic'!C$16)*1000*(1+'Inflation-Interest'!$B$58)*(1+'Inflation-Interest'!$B$59)*(1+'Inflation-Interest'!$B$60)* ('Prediction Results (Transposed)'!K$3*($B$8/12*$B$5)+ 'Prediction Results (Transposed)'!K$4*($B$9/12*$B$6)+ 'Prediction Results (Transposed)'!K$5*($B$10/12*$B$7))*U13/U51*(1+$B$15)^($S108-$S$99) * 1/$B$14</f>
        <v>188462257.19039673</v>
      </c>
      <c r="V108" s="63">
        <f>('Demographic-Economic'!D$14+'Demographic-Economic'!D$15+'Demographic-Economic'!D$16)*1000*(1+'Inflation-Interest'!$B$58)*(1+'Inflation-Interest'!$B$59)*(1+'Inflation-Interest'!$B$60)* ('Prediction Results (Transposed)'!L$3*($B$8/12*$B$5)+ 'Prediction Results (Transposed)'!L$4*($B$9/12*$B$6)+ 'Prediction Results (Transposed)'!L$5*($B$10/12*$B$7))*V13/V51*(1+$B$15)^($S108-$S$99) * 1/$B$14</f>
        <v>9359591.2614382487</v>
      </c>
      <c r="W108" s="63">
        <f>('Demographic-Economic'!E$14+'Demographic-Economic'!E$15+'Demographic-Economic'!E$16)*1000*(1+'Inflation-Interest'!$B$58)*(1+'Inflation-Interest'!$B$59)*(1+'Inflation-Interest'!$B$60)* ('Prediction Results (Transposed)'!M$3*($B$8/12*$B$5)+ 'Prediction Results (Transposed)'!M$4*($B$9/12*$B$6)+ 'Prediction Results (Transposed)'!M$5*($B$10/12*$B$7))*W13/W51*(1+$B$15)^($S108-$S$99) * 1/$B$14</f>
        <v>1109309.2034301767</v>
      </c>
      <c r="X108" s="63">
        <f>('Demographic-Economic'!F$14+'Demographic-Economic'!F$15+'Demographic-Economic'!F$16)*1000*(1+'Inflation-Interest'!$B$58)*(1+'Inflation-Interest'!$B$59)*(1+'Inflation-Interest'!$B$60)* ('Prediction Results (Transposed)'!N$3*($B$8/12*$B$5)+ 'Prediction Results (Transposed)'!N$4*($B$9/12*$B$6)+ 'Prediction Results (Transposed)'!N$5*($B$10/12*$B$7))*X13/X51*(1+$B$15)^($S108-$S$99) * 1/$B$14</f>
        <v>3399856.369525786</v>
      </c>
      <c r="Y108" s="63">
        <f>('Demographic-Economic'!G$14+'Demographic-Economic'!G$15+'Demographic-Economic'!G$16)*1000*(1+'Inflation-Interest'!$B$58)*(1+'Inflation-Interest'!$B$59)*(1+'Inflation-Interest'!$B$60)* ('Prediction Results (Transposed)'!O$3*($B$8/12*$B$5)+ 'Prediction Results (Transposed)'!O$4*($B$9/12*$B$6)+ 'Prediction Results (Transposed)'!O$5*($B$10/12*$B$7))*Y13/Y51*(1+$B$15)^($S108-$S$99) * 1/$B$14</f>
        <v>847271.40960131423</v>
      </c>
      <c r="AA108" s="193">
        <v>2029</v>
      </c>
      <c r="AB108" s="63">
        <f>('Demographic-Economic'!B$14+'Demographic-Economic'!B$15+'Demographic-Economic'!B$16)*1000*(1+'Inflation-Interest'!$B$58)*(1+'Inflation-Interest'!$B$59)*(1+'Inflation-Interest'!$B$60)* ('Prediction Results (Transposed)'!J$3*($B$8/12*$B$5)+ 'Prediction Results (Transposed)'!J$4*($B$9/12*$B$6)+ 'Prediction Results (Transposed)'!J$5*($B$10/12*$B$7))*AB13/AB51*(1+$B$15)^($AA108-$AA$99)*1/$B$14</f>
        <v>151566805.73369747</v>
      </c>
      <c r="AC108" s="63">
        <f>('Demographic-Economic'!C$14+'Demographic-Economic'!C$15+'Demographic-Economic'!C$16)*1000*(1+'Inflation-Interest'!$B$58)*(1+'Inflation-Interest'!$B$59)*(1+'Inflation-Interest'!$B$60)* ('Prediction Results (Transposed)'!K$3*($B$8/12*$B$5)+ 'Prediction Results (Transposed)'!K$4*($B$9/12*$B$6)+ 'Prediction Results (Transposed)'!K$5*($B$10/12*$B$7))*AC13/AC51*(1+$B$15)^($AA108-$AA$99)*1/$B$14</f>
        <v>194712252.42684117</v>
      </c>
      <c r="AD108" s="63">
        <f>('Demographic-Economic'!D$14+'Demographic-Economic'!D$15+'Demographic-Economic'!D$16)*1000*(1+'Inflation-Interest'!$B$58)*(1+'Inflation-Interest'!$B$59)*(1+'Inflation-Interest'!$B$60)* ('Prediction Results (Transposed)'!L$3*($B$8/12*$B$5)+ 'Prediction Results (Transposed)'!L$4*($B$9/12*$B$6)+ 'Prediction Results (Transposed)'!L$5*($B$10/12*$B$7))*AD13/AD51*(1+$B$15)^($AA108-$AA$99)*1/$B$14</f>
        <v>9669984.4492899589</v>
      </c>
      <c r="AE108" s="63">
        <f>('Demographic-Economic'!E$14+'Demographic-Economic'!E$15+'Demographic-Economic'!E$16)*1000*(1+'Inflation-Interest'!$B$58)*(1+'Inflation-Interest'!$B$59)*(1+'Inflation-Interest'!$B$60)* ('Prediction Results (Transposed)'!M$3*($B$8/12*$B$5)+ 'Prediction Results (Transposed)'!M$4*($B$9/12*$B$6)+ 'Prediction Results (Transposed)'!M$5*($B$10/12*$B$7))*AE13/AE51*(1+$B$15)^($AA108-$AA$99)*1/$B$14</f>
        <v>1146097.3505135379</v>
      </c>
      <c r="AF108" s="63">
        <f>('Demographic-Economic'!F$14+'Demographic-Economic'!F$15+'Demographic-Economic'!F$16)*1000*(1+'Inflation-Interest'!$B$58)*(1+'Inflation-Interest'!$B$59)*(1+'Inflation-Interest'!$B$60)* ('Prediction Results (Transposed)'!N$3*($B$8/12*$B$5)+ 'Prediction Results (Transposed)'!N$4*($B$9/12*$B$6)+ 'Prediction Results (Transposed)'!N$5*($B$10/12*$B$7))*AF13/AF51*(1+$B$15)^($AA108-$AA$99)*1/$B$14</f>
        <v>3512606.1923864144</v>
      </c>
      <c r="AG108" s="63">
        <f>('Demographic-Economic'!G$14+'Demographic-Economic'!G$15+'Demographic-Economic'!G$16)*1000*(1+'Inflation-Interest'!$B$58)*(1+'Inflation-Interest'!$B$59)*(1+'Inflation-Interest'!$B$60)* ('Prediction Results (Transposed)'!O$3*($B$8/12*$B$5)+ 'Prediction Results (Transposed)'!O$4*($B$9/12*$B$6)+ 'Prediction Results (Transposed)'!O$5*($B$10/12*$B$7))*AG13/AG51*(1+$B$15)^($AA108-$AA$99)*1/$B$14</f>
        <v>875369.56757166027</v>
      </c>
    </row>
    <row r="109" spans="1:33">
      <c r="A109" s="256"/>
      <c r="B109" s="257"/>
      <c r="C109" s="193">
        <v>2030</v>
      </c>
      <c r="D109" s="63">
        <f>('Demographic-Economic'!B$14+'Demographic-Economic'!B$15+'Demographic-Economic'!B$16)*1000*(1+'Inflation-Interest'!$B$58)*(1+'Inflation-Interest'!$B$59)*(1+'Inflation-Interest'!$B$60)* ('Prediction Results (Transposed)'!J$3*($B$8/12)*$B$5+ 'Prediction Results (Transposed)'!J$4*($B$9/12)*$B$6+ 'Prediction Results (Transposed)'!J$5*($B$10/12)*$B$7)*D14/D52*(1+$B$15)^($C109-$C$99)*1/$B$14</f>
        <v>143768785.05190402</v>
      </c>
      <c r="E109" s="63">
        <f>('Demographic-Economic'!C$14+'Demographic-Economic'!C$15+'Demographic-Economic'!C$16)*1000*(1+'Inflation-Interest'!$B$58)*(1+'Inflation-Interest'!$B$59)*(1+'Inflation-Interest'!$B$60)* ('Prediction Results (Transposed)'!K$3*($B$8/12)*$B$5+ 'Prediction Results (Transposed)'!K$4*($B$9/12)*$B$6+ 'Prediction Results (Transposed)'!K$5*($B$10/12)*$B$7)*E14/E52*(1+$B$15)^($C109-$C$99)*1/$B$14</f>
        <v>184694424.5517135</v>
      </c>
      <c r="F109" s="63">
        <f>('Demographic-Economic'!D$14+'Demographic-Economic'!D$15+'Demographic-Economic'!D$16)*1000*(1+'Inflation-Interest'!$B$58)*(1+'Inflation-Interest'!$B$59)*(1+'Inflation-Interest'!$B$60)* ('Prediction Results (Transposed)'!L$3*($B$8/12)*$B$5+ 'Prediction Results (Transposed)'!L$4*($B$9/12)*$B$6+ 'Prediction Results (Transposed)'!L$5*($B$10/12)*$B$7)*F14/F52*(1+$B$15)^($C109-$C$99)*1/$B$14</f>
        <v>9172469.585377913</v>
      </c>
      <c r="G109" s="63">
        <f>('Demographic-Economic'!E$14+'Demographic-Economic'!E$15+'Demographic-Economic'!E$16)*1000*(1+'Inflation-Interest'!$B$58)*(1+'Inflation-Interest'!$B$59)*(1+'Inflation-Interest'!$B$60)* ('Prediction Results (Transposed)'!M$3*($B$8/12)*$B$5+ 'Prediction Results (Transposed)'!M$4*($B$9/12)*$B$6+ 'Prediction Results (Transposed)'!M$5*($B$10/12)*$B$7)*G14/G52*(1+$B$15)^($C109-$C$99)*1/$B$14</f>
        <v>1087131.3335193153</v>
      </c>
      <c r="H109" s="63">
        <f>('Demographic-Economic'!F$14+'Demographic-Economic'!F$15+'Demographic-Economic'!F$16)*1000*(1+'Inflation-Interest'!$B$58)*(1+'Inflation-Interest'!$B$59)*(1+'Inflation-Interest'!$B$60)* ('Prediction Results (Transposed)'!N$3*($B$8/12)*$B$5+ 'Prediction Results (Transposed)'!N$4*($B$9/12)*$B$6+ 'Prediction Results (Transposed)'!N$5*($B$10/12)*$B$7)*H14/H52*(1+$B$15)^($C109-$C$99)*1/$B$14</f>
        <v>3331884.7237071074</v>
      </c>
      <c r="I109" s="63">
        <f>('Demographic-Economic'!G$14+'Demographic-Economic'!G$15+'Demographic-Economic'!G$16)*1000*(1+'Inflation-Interest'!$B$58)*(1+'Inflation-Interest'!$B$59)*(1+'Inflation-Interest'!$B$60)* ('Prediction Results (Transposed)'!O$3*($B$8/12)*$B$5+ 'Prediction Results (Transposed)'!O$4*($B$9/12)*$B$6+ 'Prediction Results (Transposed)'!O$5*($B$10/12)*$B$7)*I14/I52*(1+$B$15)^($C109-$C$99)*1/$B$14</f>
        <v>830332.33162086806</v>
      </c>
      <c r="K109" s="193">
        <v>2030</v>
      </c>
      <c r="L109" s="63">
        <f>('Demographic-Economic'!B$14+'Demographic-Economic'!B$15+'Demographic-Economic'!B$16)*1000*(1+'Inflation-Interest'!$B$58)*(1+'Inflation-Interest'!$B$59)*(1+'Inflation-Interest'!$B$60)* ('Prediction Results (Transposed)'!J$3*($B$8/12)*$B$5+ 'Prediction Results (Transposed)'!J$4*($B$9/12)*$B$6+ 'Prediction Results (Transposed)'!J$5*($B$10/12)*$B$7)*L14/L52*(1+$B$15)^($K109-$K$99) * 1/$B$14</f>
        <v>147568976.20696211</v>
      </c>
      <c r="M109" s="63">
        <f>('Demographic-Economic'!C$14+'Demographic-Economic'!C$15+'Demographic-Economic'!C$16)*1000*(1+'Inflation-Interest'!$B$58)*(1+'Inflation-Interest'!$B$59)*(1+'Inflation-Interest'!$B$60)* ('Prediction Results (Transposed)'!K$3*($B$8/12)*$B$5+ 'Prediction Results (Transposed)'!K$4*($B$9/12)*$B$6+ 'Prediction Results (Transposed)'!K$5*($B$10/12)*$B$7)*M14/M52*(1+$B$15)^($K109-$K$99) * 1/$B$14</f>
        <v>189576389.14727274</v>
      </c>
      <c r="N109" s="63">
        <f>('Demographic-Economic'!D$14+'Demographic-Economic'!D$15+'Demographic-Economic'!D$16)*1000*(1+'Inflation-Interest'!$B$58)*(1+'Inflation-Interest'!$B$59)*(1+'Inflation-Interest'!$B$60)* ('Prediction Results (Transposed)'!L$3*($B$8/12)*$B$5+ 'Prediction Results (Transposed)'!L$4*($B$9/12)*$B$6+ 'Prediction Results (Transposed)'!L$5*($B$10/12)*$B$7)*N14/N52*(1+$B$15)^($K109-$K$99) * 1/$B$14</f>
        <v>9414922.3387750294</v>
      </c>
      <c r="O109" s="63">
        <f>('Demographic-Economic'!E$14+'Demographic-Economic'!E$15+'Demographic-Economic'!E$16)*1000*(1+'Inflation-Interest'!$B$58)*(1+'Inflation-Interest'!$B$59)*(1+'Inflation-Interest'!$B$60)* ('Prediction Results (Transposed)'!M$3*($B$8/12)*$B$5+ 'Prediction Results (Transposed)'!M$4*($B$9/12)*$B$6+ 'Prediction Results (Transposed)'!M$5*($B$10/12)*$B$7)*O14/O52*(1+$B$15)^($K109-$K$99) * 1/$B$14</f>
        <v>1115867.1044763776</v>
      </c>
      <c r="P109" s="63">
        <f>('Demographic-Economic'!F$14+'Demographic-Economic'!F$15+'Demographic-Economic'!F$16)*1000*(1+'Inflation-Interest'!$B$58)*(1+'Inflation-Interest'!$B$59)*(1+'Inflation-Interest'!$B$60)* ('Prediction Results (Transposed)'!N$3*($B$8/12)*$B$5+ 'Prediction Results (Transposed)'!N$4*($B$9/12)*$B$6+ 'Prediction Results (Transposed)'!N$5*($B$10/12)*$B$7)*P14/P52*(1+$B$15)^($K109-$K$99) * 1/$B$14</f>
        <v>3419955.2937695431</v>
      </c>
      <c r="Q109" s="63">
        <f>('Demographic-Economic'!G$14+'Demographic-Economic'!G$15+'Demographic-Economic'!G$16)*1000*(1+'Inflation-Interest'!$B$58)*(1+'Inflation-Interest'!$B$59)*(1+'Inflation-Interest'!$B$60)* ('Prediction Results (Transposed)'!O$3*($B$8/12)*$B$5+ 'Prediction Results (Transposed)'!O$4*($B$9/12)*$B$6+ 'Prediction Results (Transposed)'!O$5*($B$10/12)*$B$7)*Q14/Q52*(1+$B$15)^($K109-$K$99) * 1/$B$14</f>
        <v>852280.22233473323</v>
      </c>
      <c r="S109" s="193">
        <v>2030</v>
      </c>
      <c r="T109" s="63">
        <f>('Demographic-Economic'!B$14+'Demographic-Economic'!B$15+'Demographic-Economic'!B$16)*1000*(1+'Inflation-Interest'!$B$58)*(1+'Inflation-Interest'!$B$59)*(1+'Inflation-Interest'!$B$60)* ('Prediction Results (Transposed)'!J$3*($B$8/12*$B$5)+ 'Prediction Results (Transposed)'!J$4*($B$9/12*$B$6)+ 'Prediction Results (Transposed)'!J$5*($B$10/12*$B$7))*T14/T52*(1+$B$15)^($S109-$S$99) * 1/$B$14</f>
        <v>156416930.84509885</v>
      </c>
      <c r="U109" s="63">
        <f>('Demographic-Economic'!C$14+'Demographic-Economic'!C$15+'Demographic-Economic'!C$16)*1000*(1+'Inflation-Interest'!$B$58)*(1+'Inflation-Interest'!$B$59)*(1+'Inflation-Interest'!$B$60)* ('Prediction Results (Transposed)'!K$3*($B$8/12*$B$5)+ 'Prediction Results (Transposed)'!K$4*($B$9/12*$B$6)+ 'Prediction Results (Transposed)'!K$5*($B$10/12*$B$7))*U14/U52*(1+$B$15)^($S109-$S$99) * 1/$B$14</f>
        <v>200943028.22515297</v>
      </c>
      <c r="V109" s="63">
        <f>('Demographic-Economic'!D$14+'Demographic-Economic'!D$15+'Demographic-Economic'!D$16)*1000*(1+'Inflation-Interest'!$B$58)*(1+'Inflation-Interest'!$B$59)*(1+'Inflation-Interest'!$B$60)* ('Prediction Results (Transposed)'!L$3*($B$8/12*$B$5)+ 'Prediction Results (Transposed)'!L$4*($B$9/12*$B$6)+ 'Prediction Results (Transposed)'!L$5*($B$10/12*$B$7))*V14/V52*(1+$B$15)^($S109-$S$99) * 1/$B$14</f>
        <v>9979423.143186871</v>
      </c>
      <c r="W109" s="63">
        <f>('Demographic-Economic'!E$14+'Demographic-Economic'!E$15+'Demographic-Economic'!E$16)*1000*(1+'Inflation-Interest'!$B$58)*(1+'Inflation-Interest'!$B$59)*(1+'Inflation-Interest'!$B$60)* ('Prediction Results (Transposed)'!M$3*($B$8/12*$B$5)+ 'Prediction Results (Transposed)'!M$4*($B$9/12*$B$6)+ 'Prediction Results (Transposed)'!M$5*($B$10/12*$B$7))*W14/W52*(1+$B$15)^($S109-$S$99) * 1/$B$14</f>
        <v>1182772.3699079757</v>
      </c>
      <c r="X109" s="63">
        <f>('Demographic-Economic'!F$14+'Demographic-Economic'!F$15+'Demographic-Economic'!F$16)*1000*(1+'Inflation-Interest'!$B$58)*(1+'Inflation-Interest'!$B$59)*(1+'Inflation-Interest'!$B$60)* ('Prediction Results (Transposed)'!N$3*($B$8/12*$B$5)+ 'Prediction Results (Transposed)'!N$4*($B$9/12*$B$6)+ 'Prediction Results (Transposed)'!N$5*($B$10/12*$B$7))*X14/X52*(1+$B$15)^($S109-$S$99) * 1/$B$14</f>
        <v>3625009.296863596</v>
      </c>
      <c r="Y109" s="63">
        <f>('Demographic-Economic'!G$14+'Demographic-Economic'!G$15+'Demographic-Economic'!G$16)*1000*(1+'Inflation-Interest'!$B$58)*(1+'Inflation-Interest'!$B$59)*(1+'Inflation-Interest'!$B$60)* ('Prediction Results (Transposed)'!O$3*($B$8/12*$B$5)+ 'Prediction Results (Transposed)'!O$4*($B$9/12*$B$6)+ 'Prediction Results (Transposed)'!O$5*($B$10/12*$B$7))*Y14/Y52*(1+$B$15)^($S109-$S$99) * 1/$B$14</f>
        <v>903381.32054675091</v>
      </c>
      <c r="AA109" s="193">
        <v>2030</v>
      </c>
      <c r="AB109" s="63">
        <f>('Demographic-Economic'!B$14+'Demographic-Economic'!B$15+'Demographic-Economic'!B$16)*1000*(1+'Inflation-Interest'!$B$58)*(1+'Inflation-Interest'!$B$59)*(1+'Inflation-Interest'!$B$60)* ('Prediction Results (Transposed)'!J$3*($B$8/12*$B$5)+ 'Prediction Results (Transposed)'!J$4*($B$9/12*$B$6)+ 'Prediction Results (Transposed)'!J$5*($B$10/12*$B$7))*AB14/AB52*(1+$B$15)^($AA109-$AA$99)*1/$B$14</f>
        <v>162106962.16342047</v>
      </c>
      <c r="AC109" s="63">
        <f>('Demographic-Economic'!C$14+'Demographic-Economic'!C$15+'Demographic-Economic'!C$16)*1000*(1+'Inflation-Interest'!$B$58)*(1+'Inflation-Interest'!$B$59)*(1+'Inflation-Interest'!$B$60)* ('Prediction Results (Transposed)'!K$3*($B$8/12*$B$5)+ 'Prediction Results (Transposed)'!K$4*($B$9/12*$B$6)+ 'Prediction Results (Transposed)'!K$5*($B$10/12*$B$7))*AC14/AC52*(1+$B$15)^($AA109-$AA$99)*1/$B$14</f>
        <v>208252800.3682453</v>
      </c>
      <c r="AD109" s="63">
        <f>('Demographic-Economic'!D$14+'Demographic-Economic'!D$15+'Demographic-Economic'!D$16)*1000*(1+'Inflation-Interest'!$B$58)*(1+'Inflation-Interest'!$B$59)*(1+'Inflation-Interest'!$B$60)* ('Prediction Results (Transposed)'!L$3*($B$8/12*$B$5)+ 'Prediction Results (Transposed)'!L$4*($B$9/12*$B$6)+ 'Prediction Results (Transposed)'!L$5*($B$10/12*$B$7))*AD14/AD52*(1+$B$15)^($AA109-$AA$99)*1/$B$14</f>
        <v>10342447.976347353</v>
      </c>
      <c r="AE109" s="63">
        <f>('Demographic-Economic'!E$14+'Demographic-Economic'!E$15+'Demographic-Economic'!E$16)*1000*(1+'Inflation-Interest'!$B$58)*(1+'Inflation-Interest'!$B$59)*(1+'Inflation-Interest'!$B$60)* ('Prediction Results (Transposed)'!M$3*($B$8/12*$B$5)+ 'Prediction Results (Transposed)'!M$4*($B$9/12*$B$6)+ 'Prediction Results (Transposed)'!M$5*($B$10/12*$B$7))*AE14/AE52*(1+$B$15)^($AA109-$AA$99)*1/$B$14</f>
        <v>1225798.4783404872</v>
      </c>
      <c r="AF109" s="63">
        <f>('Demographic-Economic'!F$14+'Demographic-Economic'!F$15+'Demographic-Economic'!F$16)*1000*(1+'Inflation-Interest'!$B$58)*(1+'Inflation-Interest'!$B$59)*(1+'Inflation-Interest'!$B$60)* ('Prediction Results (Transposed)'!N$3*($B$8/12*$B$5)+ 'Prediction Results (Transposed)'!N$4*($B$9/12*$B$6)+ 'Prediction Results (Transposed)'!N$5*($B$10/12*$B$7))*AF14/AF52*(1+$B$15)^($AA109-$AA$99)*1/$B$14</f>
        <v>3756877.4796550567</v>
      </c>
      <c r="AG109" s="63">
        <f>('Demographic-Economic'!G$14+'Demographic-Economic'!G$15+'Demographic-Economic'!G$16)*1000*(1+'Inflation-Interest'!$B$58)*(1+'Inflation-Interest'!$B$59)*(1+'Inflation-Interest'!$B$60)* ('Prediction Results (Transposed)'!O$3*($B$8/12*$B$5)+ 'Prediction Results (Transposed)'!O$4*($B$9/12*$B$6)+ 'Prediction Results (Transposed)'!O$5*($B$10/12*$B$7))*AG14/AG52*(1+$B$15)^($AA109-$AA$99)*1/$B$14</f>
        <v>936243.9267782222</v>
      </c>
    </row>
    <row r="110" spans="1:33">
      <c r="A110" s="256"/>
      <c r="B110" s="257"/>
      <c r="C110" s="193">
        <v>2040</v>
      </c>
      <c r="D110" s="63">
        <f>('Demographic-Economic'!B$14+'Demographic-Economic'!B$15+'Demographic-Economic'!B$16)*1000*(1+'Inflation-Interest'!$B$58)*(1+'Inflation-Interest'!$B$59)*(1+'Inflation-Interest'!$B$60)* ('Prediction Results (Transposed)'!J$3*($B$8/12)*$B$5+ 'Prediction Results (Transposed)'!J$4*($B$9/12)*$B$6+ 'Prediction Results (Transposed)'!J$5*($B$10/12)*$B$7)*D15/D53*(1+$B$15)^($C110-$C$99)*1/$B$14</f>
        <v>239486747.8405157</v>
      </c>
      <c r="E110" s="63">
        <f>('Demographic-Economic'!C$14+'Demographic-Economic'!C$15+'Demographic-Economic'!C$16)*1000*(1+'Inflation-Interest'!$B$58)*(1+'Inflation-Interest'!$B$59)*(1+'Inflation-Interest'!$B$60)* ('Prediction Results (Transposed)'!K$3*($B$8/12)*$B$5+ 'Prediction Results (Transposed)'!K$4*($B$9/12)*$B$6+ 'Prediction Results (Transposed)'!K$5*($B$10/12)*$B$7)*E15/E53*(1+$B$15)^($C110-$C$99)*1/$B$14</f>
        <v>307659740.35460192</v>
      </c>
      <c r="F110" s="63">
        <f>('Demographic-Economic'!D$14+'Demographic-Economic'!D$15+'Demographic-Economic'!D$16)*1000*(1+'Inflation-Interest'!$B$58)*(1+'Inflation-Interest'!$B$59)*(1+'Inflation-Interest'!$B$60)* ('Prediction Results (Transposed)'!L$3*($B$8/12)*$B$5+ 'Prediction Results (Transposed)'!L$4*($B$9/12)*$B$6+ 'Prediction Results (Transposed)'!L$5*($B$10/12)*$B$7)*F15/F53*(1+$B$15)^($C110-$C$99)*1/$B$14</f>
        <v>15279289.658566315</v>
      </c>
      <c r="G110" s="63">
        <f>('Demographic-Economic'!E$14+'Demographic-Economic'!E$15+'Demographic-Economic'!E$16)*1000*(1+'Inflation-Interest'!$B$58)*(1+'Inflation-Interest'!$B$59)*(1+'Inflation-Interest'!$B$60)* ('Prediction Results (Transposed)'!M$3*($B$8/12)*$B$5+ 'Prediction Results (Transposed)'!M$4*($B$9/12)*$B$6+ 'Prediction Results (Transposed)'!M$5*($B$10/12)*$B$7)*G15/G53*(1+$B$15)^($C110-$C$99)*1/$B$14</f>
        <v>1810918.4649927311</v>
      </c>
      <c r="H110" s="63">
        <f>('Demographic-Economic'!F$14+'Demographic-Economic'!F$15+'Demographic-Economic'!F$16)*1000*(1+'Inflation-Interest'!$B$58)*(1+'Inflation-Interest'!$B$59)*(1+'Inflation-Interest'!$B$60)* ('Prediction Results (Transposed)'!N$3*($B$8/12)*$B$5+ 'Prediction Results (Transposed)'!N$4*($B$9/12)*$B$6+ 'Prediction Results (Transposed)'!N$5*($B$10/12)*$B$7)*H15/H53*(1+$B$15)^($C110-$C$99)*1/$B$14</f>
        <v>5550177.2263849489</v>
      </c>
      <c r="I110" s="63">
        <f>('Demographic-Economic'!G$14+'Demographic-Economic'!G$15+'Demographic-Economic'!G$16)*1000*(1+'Inflation-Interest'!$B$58)*(1+'Inflation-Interest'!$B$59)*(1+'Inflation-Interest'!$B$60)* ('Prediction Results (Transposed)'!O$3*($B$8/12)*$B$5+ 'Prediction Results (Transposed)'!O$4*($B$9/12)*$B$6+ 'Prediction Results (Transposed)'!O$5*($B$10/12)*$B$7)*I15/I53*(1+$B$15)^($C110-$C$99)*1/$B$14</f>
        <v>1383148.5718886987</v>
      </c>
      <c r="K110" s="193">
        <v>2040</v>
      </c>
      <c r="L110" s="63">
        <f>('Demographic-Economic'!B$14+'Demographic-Economic'!B$15+'Demographic-Economic'!B$16)*1000*(1+'Inflation-Interest'!$B$58)*(1+'Inflation-Interest'!$B$59)*(1+'Inflation-Interest'!$B$60)* ('Prediction Results (Transposed)'!J$3*($B$8/12)*$B$5+ 'Prediction Results (Transposed)'!J$4*($B$9/12)*$B$6+ 'Prediction Results (Transposed)'!J$5*($B$10/12)*$B$7)*L15/L53*(1+$B$15)^($K110-$K$99) * 1/$B$14</f>
        <v>263384740.65849265</v>
      </c>
      <c r="M110" s="63">
        <f>('Demographic-Economic'!C$14+'Demographic-Economic'!C$15+'Demographic-Economic'!C$16)*1000*(1+'Inflation-Interest'!$B$58)*(1+'Inflation-Interest'!$B$59)*(1+'Inflation-Interest'!$B$60)* ('Prediction Results (Transposed)'!K$3*($B$8/12)*$B$5+ 'Prediction Results (Transposed)'!K$4*($B$9/12)*$B$6+ 'Prediction Results (Transposed)'!K$5*($B$10/12)*$B$7)*M15/M53*(1+$B$15)^($K110-$K$99) * 1/$B$14</f>
        <v>338360605.14847022</v>
      </c>
      <c r="N110" s="63">
        <f>('Demographic-Economic'!D$14+'Demographic-Economic'!D$15+'Demographic-Economic'!D$16)*1000*(1+'Inflation-Interest'!$B$58)*(1+'Inflation-Interest'!$B$59)*(1+'Inflation-Interest'!$B$60)* ('Prediction Results (Transposed)'!L$3*($B$8/12)*$B$5+ 'Prediction Results (Transposed)'!L$4*($B$9/12)*$B$6+ 'Prediction Results (Transposed)'!L$5*($B$10/12)*$B$7)*N15/N53*(1+$B$15)^($K110-$K$99) * 1/$B$14</f>
        <v>16803985.107549451</v>
      </c>
      <c r="O110" s="63">
        <f>('Demographic-Economic'!E$14+'Demographic-Economic'!E$15+'Demographic-Economic'!E$16)*1000*(1+'Inflation-Interest'!$B$58)*(1+'Inflation-Interest'!$B$59)*(1+'Inflation-Interest'!$B$60)* ('Prediction Results (Transposed)'!M$3*($B$8/12)*$B$5+ 'Prediction Results (Transposed)'!M$4*($B$9/12)*$B$6+ 'Prediction Results (Transposed)'!M$5*($B$10/12)*$B$7)*O15/O53*(1+$B$15)^($K110-$K$99) * 1/$B$14</f>
        <v>1991627.0714629237</v>
      </c>
      <c r="P110" s="63">
        <f>('Demographic-Economic'!F$14+'Demographic-Economic'!F$15+'Demographic-Economic'!F$16)*1000*(1+'Inflation-Interest'!$B$58)*(1+'Inflation-Interest'!$B$59)*(1+'Inflation-Interest'!$B$60)* ('Prediction Results (Transposed)'!N$3*($B$8/12)*$B$5+ 'Prediction Results (Transposed)'!N$4*($B$9/12)*$B$6+ 'Prediction Results (Transposed)'!N$5*($B$10/12)*$B$7)*P15/P53*(1+$B$15)^($K110-$K$99) * 1/$B$14</f>
        <v>6104020.379255252</v>
      </c>
      <c r="Q110" s="63">
        <f>('Demographic-Economic'!G$14+'Demographic-Economic'!G$15+'Demographic-Economic'!G$16)*1000*(1+'Inflation-Interest'!$B$58)*(1+'Inflation-Interest'!$B$59)*(1+'Inflation-Interest'!$B$60)* ('Prediction Results (Transposed)'!O$3*($B$8/12)*$B$5+ 'Prediction Results (Transposed)'!O$4*($B$9/12)*$B$6+ 'Prediction Results (Transposed)'!O$5*($B$10/12)*$B$7)*Q15/Q53*(1+$B$15)^($K110-$K$99) * 1/$B$14</f>
        <v>1521170.7168935803</v>
      </c>
      <c r="S110" s="193">
        <v>2040</v>
      </c>
      <c r="T110" s="63">
        <f>('Demographic-Economic'!B$14+'Demographic-Economic'!B$15+'Demographic-Economic'!B$16)*1000*(1+'Inflation-Interest'!$B$58)*(1+'Inflation-Interest'!$B$59)*(1+'Inflation-Interest'!$B$60)* ('Prediction Results (Transposed)'!J$3*($B$8/12*$B$5)+ 'Prediction Results (Transposed)'!J$4*($B$9/12*$B$6)+ 'Prediction Results (Transposed)'!J$5*($B$10/12*$B$7))*T15/T53*(1+$B$15)^($S110-$S$99) * 1/$B$14</f>
        <v>298080844.59888297</v>
      </c>
      <c r="U110" s="63">
        <f>('Demographic-Economic'!C$14+'Demographic-Economic'!C$15+'Demographic-Economic'!C$16)*1000*(1+'Inflation-Interest'!$B$58)*(1+'Inflation-Interest'!$B$59)*(1+'Inflation-Interest'!$B$60)* ('Prediction Results (Transposed)'!K$3*($B$8/12*$B$5)+ 'Prediction Results (Transposed)'!K$4*($B$9/12*$B$6)+ 'Prediction Results (Transposed)'!K$5*($B$10/12*$B$7))*U15/U53*(1+$B$15)^($S110-$S$99) * 1/$B$14</f>
        <v>382933402.70771325</v>
      </c>
      <c r="V110" s="63">
        <f>('Demographic-Economic'!D$14+'Demographic-Economic'!D$15+'Demographic-Economic'!D$16)*1000*(1+'Inflation-Interest'!$B$58)*(1+'Inflation-Interest'!$B$59)*(1+'Inflation-Interest'!$B$60)* ('Prediction Results (Transposed)'!L$3*($B$8/12*$B$5)+ 'Prediction Results (Transposed)'!L$4*($B$9/12*$B$6)+ 'Prediction Results (Transposed)'!L$5*($B$10/12*$B$7))*V15/V53*(1+$B$15)^($S110-$S$99) * 1/$B$14</f>
        <v>19017601.630840275</v>
      </c>
      <c r="W110" s="63">
        <f>('Demographic-Economic'!E$14+'Demographic-Economic'!E$15+'Demographic-Economic'!E$16)*1000*(1+'Inflation-Interest'!$B$58)*(1+'Inflation-Interest'!$B$59)*(1+'Inflation-Interest'!$B$60)* ('Prediction Results (Transposed)'!M$3*($B$8/12*$B$5)+ 'Prediction Results (Transposed)'!M$4*($B$9/12*$B$6)+ 'Prediction Results (Transposed)'!M$5*($B$10/12*$B$7))*W15/W53*(1+$B$15)^($S110-$S$99) * 1/$B$14</f>
        <v>2253987.3726299941</v>
      </c>
      <c r="X110" s="63">
        <f>('Demographic-Economic'!F$14+'Demographic-Economic'!F$15+'Demographic-Economic'!F$16)*1000*(1+'Inflation-Interest'!$B$58)*(1+'Inflation-Interest'!$B$59)*(1+'Inflation-Interest'!$B$60)* ('Prediction Results (Transposed)'!N$3*($B$8/12*$B$5)+ 'Prediction Results (Transposed)'!N$4*($B$9/12*$B$6)+ 'Prediction Results (Transposed)'!N$5*($B$10/12*$B$7))*X15/X53*(1+$B$15)^($S110-$S$99) * 1/$B$14</f>
        <v>6908112.9967827974</v>
      </c>
      <c r="Y110" s="63">
        <f>('Demographic-Economic'!G$14+'Demographic-Economic'!G$15+'Demographic-Economic'!G$16)*1000*(1+'Inflation-Interest'!$B$58)*(1+'Inflation-Interest'!$B$59)*(1+'Inflation-Interest'!$B$60)* ('Prediction Results (Transposed)'!O$3*($B$8/12*$B$5)+ 'Prediction Results (Transposed)'!O$4*($B$9/12*$B$6)+ 'Prediction Results (Transposed)'!O$5*($B$10/12*$B$7))*Y15/Y53*(1+$B$15)^($S110-$S$99) * 1/$B$14</f>
        <v>1721557.0307417738</v>
      </c>
      <c r="AA110" s="193">
        <v>2040</v>
      </c>
      <c r="AB110" s="63">
        <f>('Demographic-Economic'!B$14+'Demographic-Economic'!B$15+'Demographic-Economic'!B$16)*1000*(1+'Inflation-Interest'!$B$58)*(1+'Inflation-Interest'!$B$59)*(1+'Inflation-Interest'!$B$60)* ('Prediction Results (Transposed)'!J$3*($B$8/12*$B$5)+ 'Prediction Results (Transposed)'!J$4*($B$9/12*$B$6)+ 'Prediction Results (Transposed)'!J$5*($B$10/12*$B$7))*AB15/AB53*(1+$B$15)^($AA110-$AA$99)*1/$B$14</f>
        <v>347622545.16396183</v>
      </c>
      <c r="AC110" s="63">
        <f>('Demographic-Economic'!C$14+'Demographic-Economic'!C$15+'Demographic-Economic'!C$16)*1000*(1+'Inflation-Interest'!$B$58)*(1+'Inflation-Interest'!$B$59)*(1+'Inflation-Interest'!$B$60)* ('Prediction Results (Transposed)'!K$3*($B$8/12*$B$5)+ 'Prediction Results (Transposed)'!K$4*($B$9/12*$B$6)+ 'Prediction Results (Transposed)'!K$5*($B$10/12*$B$7))*AC15/AC53*(1+$B$15)^($AA110-$AA$99)*1/$B$14</f>
        <v>446577787.50151342</v>
      </c>
      <c r="AD110" s="63">
        <f>('Demographic-Economic'!D$14+'Demographic-Economic'!D$15+'Demographic-Economic'!D$16)*1000*(1+'Inflation-Interest'!$B$58)*(1+'Inflation-Interest'!$B$59)*(1+'Inflation-Interest'!$B$60)* ('Prediction Results (Transposed)'!L$3*($B$8/12*$B$5)+ 'Prediction Results (Transposed)'!L$4*($B$9/12*$B$6)+ 'Prediction Results (Transposed)'!L$5*($B$10/12*$B$7))*AD15/AD53*(1+$B$15)^($AA110-$AA$99)*1/$B$14</f>
        <v>22178369.397480499</v>
      </c>
      <c r="AE110" s="63">
        <f>('Demographic-Economic'!E$14+'Demographic-Economic'!E$15+'Demographic-Economic'!E$16)*1000*(1+'Inflation-Interest'!$B$58)*(1+'Inflation-Interest'!$B$59)*(1+'Inflation-Interest'!$B$60)* ('Prediction Results (Transposed)'!M$3*($B$8/12*$B$5)+ 'Prediction Results (Transposed)'!M$4*($B$9/12*$B$6)+ 'Prediction Results (Transposed)'!M$5*($B$10/12*$B$7))*AE15/AE53*(1+$B$15)^($AA110-$AA$99)*1/$B$14</f>
        <v>2628605.0963638662</v>
      </c>
      <c r="AF110" s="63">
        <f>('Demographic-Economic'!F$14+'Demographic-Economic'!F$15+'Demographic-Economic'!F$16)*1000*(1+'Inflation-Interest'!$B$58)*(1+'Inflation-Interest'!$B$59)*(1+'Inflation-Interest'!$B$60)* ('Prediction Results (Transposed)'!N$3*($B$8/12*$B$5)+ 'Prediction Results (Transposed)'!N$4*($B$9/12*$B$6)+ 'Prediction Results (Transposed)'!N$5*($B$10/12*$B$7))*AF15/AF53*(1+$B$15)^($AA110-$AA$99)*1/$B$14</f>
        <v>8056256.7697142083</v>
      </c>
      <c r="AG110" s="63">
        <f>('Demographic-Economic'!G$14+'Demographic-Economic'!G$15+'Demographic-Economic'!G$16)*1000*(1+'Inflation-Interest'!$B$58)*(1+'Inflation-Interest'!$B$59)*(1+'Inflation-Interest'!$B$60)* ('Prediction Results (Transposed)'!O$3*($B$8/12*$B$5)+ 'Prediction Results (Transposed)'!O$4*($B$9/12*$B$6)+ 'Prediction Results (Transposed)'!O$5*($B$10/12*$B$7))*AG15/AG53*(1+$B$15)^($AA110-$AA$99)*1/$B$14</f>
        <v>2007683.6452764499</v>
      </c>
    </row>
    <row r="111" spans="1:33">
      <c r="A111" s="256"/>
      <c r="B111" s="257"/>
      <c r="C111" s="193">
        <v>2050</v>
      </c>
      <c r="D111" s="63">
        <f>('Demographic-Economic'!B$14+'Demographic-Economic'!B$15+'Demographic-Economic'!B$16)*1000*(1+'Inflation-Interest'!$B$58)*(1+'Inflation-Interest'!$B$59)*(1+'Inflation-Interest'!$B$60)* ('Prediction Results (Transposed)'!J$3*($B$8/12)*$B$5+ 'Prediction Results (Transposed)'!J$4*($B$9/12)*$B$6+ 'Prediction Results (Transposed)'!J$5*($B$10/12)*$B$7)*D16/D54*(1+$B$15)^($C111-$C$99)*1/$B$14</f>
        <v>372646220.05354035</v>
      </c>
      <c r="E111" s="63">
        <f>('Demographic-Economic'!C$14+'Demographic-Economic'!C$15+'Demographic-Economic'!C$16)*1000*(1+'Inflation-Interest'!$B$58)*(1+'Inflation-Interest'!$B$59)*(1+'Inflation-Interest'!$B$60)* ('Prediction Results (Transposed)'!K$3*($B$8/12)*$B$5+ 'Prediction Results (Transposed)'!K$4*($B$9/12)*$B$6+ 'Prediction Results (Transposed)'!K$5*($B$10/12)*$B$7)*E16/E54*(1+$B$15)^($C111-$C$99)*1/$B$14</f>
        <v>478724774.29166621</v>
      </c>
      <c r="F111" s="63">
        <f>('Demographic-Economic'!D$14+'Demographic-Economic'!D$15+'Demographic-Economic'!D$16)*1000*(1+'Inflation-Interest'!$B$58)*(1+'Inflation-Interest'!$B$59)*(1+'Inflation-Interest'!$B$60)* ('Prediction Results (Transposed)'!L$3*($B$8/12)*$B$5+ 'Prediction Results (Transposed)'!L$4*($B$9/12)*$B$6+ 'Prediction Results (Transposed)'!L$5*($B$10/12)*$B$7)*F16/F54*(1+$B$15)^($C111-$C$99)*1/$B$14</f>
        <v>23774883.527833469</v>
      </c>
      <c r="G111" s="63">
        <f>('Demographic-Economic'!E$14+'Demographic-Economic'!E$15+'Demographic-Economic'!E$16)*1000*(1+'Inflation-Interest'!$B$58)*(1+'Inflation-Interest'!$B$59)*(1+'Inflation-Interest'!$B$60)* ('Prediction Results (Transposed)'!M$3*($B$8/12)*$B$5+ 'Prediction Results (Transposed)'!M$4*($B$9/12)*$B$6+ 'Prediction Results (Transposed)'!M$5*($B$10/12)*$B$7)*G16/G54*(1+$B$15)^($C111-$C$99)*1/$B$14</f>
        <v>2817825.7331136311</v>
      </c>
      <c r="H111" s="63">
        <f>('Demographic-Economic'!F$14+'Demographic-Economic'!F$15+'Demographic-Economic'!F$16)*1000*(1+'Inflation-Interest'!$B$58)*(1+'Inflation-Interest'!$B$59)*(1+'Inflation-Interest'!$B$60)* ('Prediction Results (Transposed)'!N$3*($B$8/12)*$B$5+ 'Prediction Results (Transposed)'!N$4*($B$9/12)*$B$6+ 'Prediction Results (Transposed)'!N$5*($B$10/12)*$B$7)*H16/H54*(1+$B$15)^($C111-$C$99)*1/$B$14</f>
        <v>8636187.9422945343</v>
      </c>
      <c r="I111" s="63">
        <f>('Demographic-Economic'!G$14+'Demographic-Economic'!G$15+'Demographic-Economic'!G$16)*1000*(1+'Inflation-Interest'!$B$58)*(1+'Inflation-Interest'!$B$59)*(1+'Inflation-Interest'!$B$60)* ('Prediction Results (Transposed)'!O$3*($B$8/12)*$B$5+ 'Prediction Results (Transposed)'!O$4*($B$9/12)*$B$6+ 'Prediction Results (Transposed)'!O$5*($B$10/12)*$B$7)*I16/I54*(1+$B$15)^($C111-$C$99)*1/$B$14</f>
        <v>2152207.1335238102</v>
      </c>
      <c r="K111" s="193">
        <v>2050</v>
      </c>
      <c r="L111" s="63">
        <f>('Demographic-Economic'!B$14+'Demographic-Economic'!B$15+'Demographic-Economic'!B$16)*1000*(1+'Inflation-Interest'!$B$58)*(1+'Inflation-Interest'!$B$59)*(1+'Inflation-Interest'!$B$60)* ('Prediction Results (Transposed)'!J$3*($B$8/12)*$B$5+ 'Prediction Results (Transposed)'!J$4*($B$9/12)*$B$6+ 'Prediction Results (Transposed)'!J$5*($B$10/12)*$B$7)*L16/L54*(1+$B$15)^($K111-$K$99) * 1/$B$14</f>
        <v>451619810.49254817</v>
      </c>
      <c r="M111" s="63">
        <f>('Demographic-Economic'!C$14+'Demographic-Economic'!C$15+'Demographic-Economic'!C$16)*1000*(1+'Inflation-Interest'!$B$58)*(1+'Inflation-Interest'!$B$59)*(1+'Inflation-Interest'!$B$60)* ('Prediction Results (Transposed)'!K$3*($B$8/12)*$B$5+ 'Prediction Results (Transposed)'!K$4*($B$9/12)*$B$6+ 'Prediction Results (Transposed)'!K$5*($B$10/12)*$B$7)*M16/M54*(1+$B$15)^($K111-$K$99) * 1/$B$14</f>
        <v>580179216.12790573</v>
      </c>
      <c r="N111" s="63">
        <f>('Demographic-Economic'!D$14+'Demographic-Economic'!D$15+'Demographic-Economic'!D$16)*1000*(1+'Inflation-Interest'!$B$58)*(1+'Inflation-Interest'!$B$59)*(1+'Inflation-Interest'!$B$60)* ('Prediction Results (Transposed)'!L$3*($B$8/12)*$B$5+ 'Prediction Results (Transposed)'!L$4*($B$9/12)*$B$6+ 'Prediction Results (Transposed)'!L$5*($B$10/12)*$B$7)*N16/N54*(1+$B$15)^($K111-$K$99) * 1/$B$14</f>
        <v>28813410.187764358</v>
      </c>
      <c r="O111" s="63">
        <f>('Demographic-Economic'!E$14+'Demographic-Economic'!E$15+'Demographic-Economic'!E$16)*1000*(1+'Inflation-Interest'!$B$58)*(1+'Inflation-Interest'!$B$59)*(1+'Inflation-Interest'!$B$60)* ('Prediction Results (Transposed)'!M$3*($B$8/12)*$B$5+ 'Prediction Results (Transposed)'!M$4*($B$9/12)*$B$6+ 'Prediction Results (Transposed)'!M$5*($B$10/12)*$B$7)*O16/O54*(1+$B$15)^($K111-$K$99) * 1/$B$14</f>
        <v>3414997.5368245086</v>
      </c>
      <c r="P111" s="63">
        <f>('Demographic-Economic'!F$14+'Demographic-Economic'!F$15+'Demographic-Economic'!F$16)*1000*(1+'Inflation-Interest'!$B$58)*(1+'Inflation-Interest'!$B$59)*(1+'Inflation-Interest'!$B$60)* ('Prediction Results (Transposed)'!N$3*($B$8/12)*$B$5+ 'Prediction Results (Transposed)'!N$4*($B$9/12)*$B$6+ 'Prediction Results (Transposed)'!N$5*($B$10/12)*$B$7)*P16/P54*(1+$B$15)^($K111-$K$99) * 1/$B$14</f>
        <v>10466424.592517566</v>
      </c>
      <c r="Q111" s="63">
        <f>('Demographic-Economic'!G$14+'Demographic-Economic'!G$15+'Demographic-Economic'!G$16)*1000*(1+'Inflation-Interest'!$B$58)*(1+'Inflation-Interest'!$B$59)*(1+'Inflation-Interest'!$B$60)* ('Prediction Results (Transposed)'!O$3*($B$8/12)*$B$5+ 'Prediction Results (Transposed)'!O$4*($B$9/12)*$B$6+ 'Prediction Results (Transposed)'!O$5*($B$10/12)*$B$7)*Q16/Q54*(1+$B$15)^($K111-$K$99) * 1/$B$14</f>
        <v>2608316.7505176445</v>
      </c>
      <c r="S111" s="193">
        <v>2050</v>
      </c>
      <c r="T111" s="63">
        <f>('Demographic-Economic'!B$14+'Demographic-Economic'!B$15+'Demographic-Economic'!B$16)*1000*(1+'Inflation-Interest'!$B$58)*(1+'Inflation-Interest'!$B$59)*(1+'Inflation-Interest'!$B$60)* ('Prediction Results (Transposed)'!J$3*($B$8/12*$B$5)+ 'Prediction Results (Transposed)'!J$4*($B$9/12*$B$6)+ 'Prediction Results (Transposed)'!J$5*($B$10/12*$B$7))*T16/T54*(1+$B$15)^($S111-$S$99) * 1/$B$14</f>
        <v>552434362.79076493</v>
      </c>
      <c r="U111" s="63">
        <f>('Demographic-Economic'!C$14+'Demographic-Economic'!C$15+'Demographic-Economic'!C$16)*1000*(1+'Inflation-Interest'!$B$58)*(1+'Inflation-Interest'!$B$59)*(1+'Inflation-Interest'!$B$60)* ('Prediction Results (Transposed)'!K$3*($B$8/12*$B$5)+ 'Prediction Results (Transposed)'!K$4*($B$9/12*$B$6)+ 'Prediction Results (Transposed)'!K$5*($B$10/12*$B$7))*U16/U54*(1+$B$15)^($S111-$S$99) * 1/$B$14</f>
        <v>709691931.39802217</v>
      </c>
      <c r="V111" s="63">
        <f>('Demographic-Economic'!D$14+'Demographic-Economic'!D$15+'Demographic-Economic'!D$16)*1000*(1+'Inflation-Interest'!$B$58)*(1+'Inflation-Interest'!$B$59)*(1+'Inflation-Interest'!$B$60)* ('Prediction Results (Transposed)'!L$3*($B$8/12*$B$5)+ 'Prediction Results (Transposed)'!L$4*($B$9/12*$B$6)+ 'Prediction Results (Transposed)'!L$5*($B$10/12*$B$7))*V16/V54*(1+$B$15)^($S111-$S$99) * 1/$B$14</f>
        <v>35245393.419625424</v>
      </c>
      <c r="W111" s="63">
        <f>('Demographic-Economic'!E$14+'Demographic-Economic'!E$15+'Demographic-Economic'!E$16)*1000*(1+'Inflation-Interest'!$B$58)*(1+'Inflation-Interest'!$B$59)*(1+'Inflation-Interest'!$B$60)* ('Prediction Results (Transposed)'!M$3*($B$8/12*$B$5)+ 'Prediction Results (Transposed)'!M$4*($B$9/12*$B$6)+ 'Prediction Results (Transposed)'!M$5*($B$10/12*$B$7))*W16/W54*(1+$B$15)^($S111-$S$99) * 1/$B$14</f>
        <v>4177323.3688091449</v>
      </c>
      <c r="X111" s="63">
        <f>('Demographic-Economic'!F$14+'Demographic-Economic'!F$15+'Demographic-Economic'!F$16)*1000*(1+'Inflation-Interest'!$B$58)*(1+'Inflation-Interest'!$B$59)*(1+'Inflation-Interest'!$B$60)* ('Prediction Results (Transposed)'!N$3*($B$8/12*$B$5)+ 'Prediction Results (Transposed)'!N$4*($B$9/12*$B$6)+ 'Prediction Results (Transposed)'!N$5*($B$10/12*$B$7))*X16/X54*(1+$B$15)^($S111-$S$99) * 1/$B$14</f>
        <v>12802832.086039413</v>
      </c>
      <c r="Y111" s="63">
        <f>('Demographic-Economic'!G$14+'Demographic-Economic'!G$15+'Demographic-Economic'!G$16)*1000*(1+'Inflation-Interest'!$B$58)*(1+'Inflation-Interest'!$B$59)*(1+'Inflation-Interest'!$B$60)* ('Prediction Results (Transposed)'!O$3*($B$8/12*$B$5)+ 'Prediction Results (Transposed)'!O$4*($B$9/12*$B$6)+ 'Prediction Results (Transposed)'!O$5*($B$10/12*$B$7))*Y16/Y54*(1+$B$15)^($S111-$S$99) * 1/$B$14</f>
        <v>3190568.1915440904</v>
      </c>
      <c r="AA111" s="193">
        <v>2050</v>
      </c>
      <c r="AB111" s="63">
        <f>('Demographic-Economic'!B$14+'Demographic-Economic'!B$15+'Demographic-Economic'!B$16)*1000*(1+'Inflation-Interest'!$B$58)*(1+'Inflation-Interest'!$B$59)*(1+'Inflation-Interest'!$B$60)* ('Prediction Results (Transposed)'!J$3*($B$8/12*$B$5)+ 'Prediction Results (Transposed)'!J$4*($B$9/12*$B$6)+ 'Prediction Results (Transposed)'!J$5*($B$10/12*$B$7))*AB16/AB54*(1+$B$15)^($AA111-$AA$99)*1/$B$14</f>
        <v>791000937.39588392</v>
      </c>
      <c r="AC111" s="63">
        <f>('Demographic-Economic'!C$14+'Demographic-Economic'!C$15+'Demographic-Economic'!C$16)*1000*(1+'Inflation-Interest'!$B$58)*(1+'Inflation-Interest'!$B$59)*(1+'Inflation-Interest'!$B$60)* ('Prediction Results (Transposed)'!K$3*($B$8/12*$B$5)+ 'Prediction Results (Transposed)'!K$4*($B$9/12*$B$6)+ 'Prediction Results (Transposed)'!K$5*($B$10/12*$B$7))*AC16/AC54*(1+$B$15)^($AA111-$AA$99)*1/$B$14</f>
        <v>1016169559.3341448</v>
      </c>
      <c r="AD111" s="63">
        <f>('Demographic-Economic'!D$14+'Demographic-Economic'!D$15+'Demographic-Economic'!D$16)*1000*(1+'Inflation-Interest'!$B$58)*(1+'Inflation-Interest'!$B$59)*(1+'Inflation-Interest'!$B$60)* ('Prediction Results (Transposed)'!L$3*($B$8/12*$B$5)+ 'Prediction Results (Transposed)'!L$4*($B$9/12*$B$6)+ 'Prediction Results (Transposed)'!L$5*($B$10/12*$B$7))*AD16/AD54*(1+$B$15)^($AA111-$AA$99)*1/$B$14</f>
        <v>50465975.89073161</v>
      </c>
      <c r="AE111" s="63">
        <f>('Demographic-Economic'!E$14+'Demographic-Economic'!E$15+'Demographic-Economic'!E$16)*1000*(1+'Inflation-Interest'!$B$58)*(1+'Inflation-Interest'!$B$59)*(1+'Inflation-Interest'!$B$60)* ('Prediction Results (Transposed)'!M$3*($B$8/12*$B$5)+ 'Prediction Results (Transposed)'!M$4*($B$9/12*$B$6)+ 'Prediction Results (Transposed)'!M$5*($B$10/12*$B$7))*AE16/AE54*(1+$B$15)^($AA111-$AA$99)*1/$B$14</f>
        <v>5981283.7924154596</v>
      </c>
      <c r="AF111" s="63">
        <f>('Demographic-Economic'!F$14+'Demographic-Economic'!F$15+'Demographic-Economic'!F$16)*1000*(1+'Inflation-Interest'!$B$58)*(1+'Inflation-Interest'!$B$59)*(1+'Inflation-Interest'!$B$60)* ('Prediction Results (Transposed)'!N$3*($B$8/12*$B$5)+ 'Prediction Results (Transposed)'!N$4*($B$9/12*$B$6)+ 'Prediction Results (Transposed)'!N$5*($B$10/12*$B$7))*AF16/AF54*(1+$B$15)^($AA111-$AA$99)*1/$B$14</f>
        <v>18331684.021645308</v>
      </c>
      <c r="AG111" s="63">
        <f>('Demographic-Economic'!G$14+'Demographic-Economic'!G$15+'Demographic-Economic'!G$16)*1000*(1+'Inflation-Interest'!$B$58)*(1+'Inflation-Interest'!$B$59)*(1+'Inflation-Interest'!$B$60)* ('Prediction Results (Transposed)'!O$3*($B$8/12*$B$5)+ 'Prediction Results (Transposed)'!O$4*($B$9/12*$B$6)+ 'Prediction Results (Transposed)'!O$5*($B$10/12*$B$7))*AG16/AG54*(1+$B$15)^($AA111-$AA$99)*1/$B$14</f>
        <v>4568402.3303465918</v>
      </c>
    </row>
    <row r="112" spans="1:33">
      <c r="A112" s="256"/>
      <c r="B112" s="257"/>
      <c r="C112" s="193">
        <v>2060</v>
      </c>
      <c r="D112" s="63">
        <f>('Demographic-Economic'!B$14+'Demographic-Economic'!B$15+'Demographic-Economic'!B$16)*1000*(1+'Inflation-Interest'!$B$58)*(1+'Inflation-Interest'!$B$59)*(1+'Inflation-Interest'!$B$60)* ('Prediction Results (Transposed)'!J$3*($B$8/12)*$B$5+ 'Prediction Results (Transposed)'!J$4*($B$9/12)*$B$6+ 'Prediction Results (Transposed)'!J$5*($B$10/12)*$B$7)*D17/D55*(1+$B$15)^($C112-$C$99)*1/$B$14</f>
        <v>549107266.8782351</v>
      </c>
      <c r="E112" s="63">
        <f>('Demographic-Economic'!C$14+'Demographic-Economic'!C$15+'Demographic-Economic'!C$16)*1000*(1+'Inflation-Interest'!$B$58)*(1+'Inflation-Interest'!$B$59)*(1+'Inflation-Interest'!$B$60)* ('Prediction Results (Transposed)'!K$3*($B$8/12)*$B$5+ 'Prediction Results (Transposed)'!K$4*($B$9/12)*$B$6+ 'Prediction Results (Transposed)'!K$5*($B$10/12)*$B$7)*E17/E55*(1+$B$15)^($C112-$C$99)*1/$B$14</f>
        <v>705417734.7094208</v>
      </c>
      <c r="F112" s="63">
        <f>('Demographic-Economic'!D$14+'Demographic-Economic'!D$15+'Demographic-Economic'!D$16)*1000*(1+'Inflation-Interest'!$B$58)*(1+'Inflation-Interest'!$B$59)*(1+'Inflation-Interest'!$B$60)* ('Prediction Results (Transposed)'!L$3*($B$8/12)*$B$5+ 'Prediction Results (Transposed)'!L$4*($B$9/12)*$B$6+ 'Prediction Results (Transposed)'!L$5*($B$10/12)*$B$7)*F17/F55*(1+$B$15)^($C112-$C$99)*1/$B$14</f>
        <v>35033124.212131605</v>
      </c>
      <c r="G112" s="63">
        <f>('Demographic-Economic'!E$14+'Demographic-Economic'!E$15+'Demographic-Economic'!E$16)*1000*(1+'Inflation-Interest'!$B$58)*(1+'Inflation-Interest'!$B$59)*(1+'Inflation-Interest'!$B$60)* ('Prediction Results (Transposed)'!M$3*($B$8/12)*$B$5+ 'Prediction Results (Transposed)'!M$4*($B$9/12)*$B$6+ 'Prediction Results (Transposed)'!M$5*($B$10/12)*$B$7)*G17/G55*(1+$B$15)^($C112-$C$99)*1/$B$14</f>
        <v>4152164.9854032514</v>
      </c>
      <c r="H112" s="63">
        <f>('Demographic-Economic'!F$14+'Demographic-Economic'!F$15+'Demographic-Economic'!F$16)*1000*(1+'Inflation-Interest'!$B$58)*(1+'Inflation-Interest'!$B$59)*(1+'Inflation-Interest'!$B$60)* ('Prediction Results (Transposed)'!N$3*($B$8/12)*$B$5+ 'Prediction Results (Transposed)'!N$4*($B$9/12)*$B$6+ 'Prediction Results (Transposed)'!N$5*($B$10/12)*$B$7)*H17/H55*(1+$B$15)^($C112-$C$99)*1/$B$14</f>
        <v>12725725.640149472</v>
      </c>
      <c r="I112" s="63">
        <f>('Demographic-Economic'!G$14+'Demographic-Economic'!G$15+'Demographic-Economic'!G$16)*1000*(1+'Inflation-Interest'!$B$58)*(1+'Inflation-Interest'!$B$59)*(1+'Inflation-Interest'!$B$60)* ('Prediction Results (Transposed)'!O$3*($B$8/12)*$B$5+ 'Prediction Results (Transposed)'!O$4*($B$9/12)*$B$6+ 'Prediction Results (Transposed)'!O$5*($B$10/12)*$B$7)*I17/I55*(1+$B$15)^($C112-$C$99)*1/$B$14</f>
        <v>3171352.6482981769</v>
      </c>
      <c r="K112" s="193">
        <v>2060</v>
      </c>
      <c r="L112" s="63">
        <f>('Demographic-Economic'!B$14+'Demographic-Economic'!B$15+'Demographic-Economic'!B$16)*1000*(1+'Inflation-Interest'!$B$58)*(1+'Inflation-Interest'!$B$59)*(1+'Inflation-Interest'!$B$60)* ('Prediction Results (Transposed)'!J$3*($B$8/12)*$B$5+ 'Prediction Results (Transposed)'!J$4*($B$9/12)*$B$6+ 'Prediction Results (Transposed)'!J$5*($B$10/12)*$B$7)*L17/L55*(1+$B$15)^($K112-$K$99) * 1/$B$14</f>
        <v>733342127.77801836</v>
      </c>
      <c r="M112" s="63">
        <f>('Demographic-Economic'!C$14+'Demographic-Economic'!C$15+'Demographic-Economic'!C$16)*1000*(1+'Inflation-Interest'!$B$58)*(1+'Inflation-Interest'!$B$59)*(1+'Inflation-Interest'!$B$60)* ('Prediction Results (Transposed)'!K$3*($B$8/12)*$B$5+ 'Prediction Results (Transposed)'!K$4*($B$9/12)*$B$6+ 'Prediction Results (Transposed)'!K$5*($B$10/12)*$B$7)*M17/M55*(1+$B$15)^($K112-$K$99) * 1/$B$14</f>
        <v>942097425.67269778</v>
      </c>
      <c r="N112" s="63">
        <f>('Demographic-Economic'!D$14+'Demographic-Economic'!D$15+'Demographic-Economic'!D$16)*1000*(1+'Inflation-Interest'!$B$58)*(1+'Inflation-Interest'!$B$59)*(1+'Inflation-Interest'!$B$60)* ('Prediction Results (Transposed)'!L$3*($B$8/12)*$B$5+ 'Prediction Results (Transposed)'!L$4*($B$9/12)*$B$6+ 'Prediction Results (Transposed)'!L$5*($B$10/12)*$B$7)*N17/N55*(1+$B$15)^($K112-$K$99) * 1/$B$14</f>
        <v>46787335.375281543</v>
      </c>
      <c r="O112" s="63">
        <f>('Demographic-Economic'!E$14+'Demographic-Economic'!E$15+'Demographic-Economic'!E$16)*1000*(1+'Inflation-Interest'!$B$58)*(1+'Inflation-Interest'!$B$59)*(1+'Inflation-Interest'!$B$60)* ('Prediction Results (Transposed)'!M$3*($B$8/12)*$B$5+ 'Prediction Results (Transposed)'!M$4*($B$9/12)*$B$6+ 'Prediction Results (Transposed)'!M$5*($B$10/12)*$B$7)*O17/O55*(1+$B$15)^($K112-$K$99) * 1/$B$14</f>
        <v>5545287.2124459185</v>
      </c>
      <c r="P112" s="63">
        <f>('Demographic-Economic'!F$14+'Demographic-Economic'!F$15+'Demographic-Economic'!F$16)*1000*(1+'Inflation-Interest'!$B$58)*(1+'Inflation-Interest'!$B$59)*(1+'Inflation-Interest'!$B$60)* ('Prediction Results (Transposed)'!N$3*($B$8/12)*$B$5+ 'Prediction Results (Transposed)'!N$4*($B$9/12)*$B$6+ 'Prediction Results (Transposed)'!N$5*($B$10/12)*$B$7)*P17/P55*(1+$B$15)^($K112-$K$99) * 1/$B$14</f>
        <v>16995423.811311439</v>
      </c>
      <c r="Q112" s="63">
        <f>('Demographic-Economic'!G$14+'Demographic-Economic'!G$15+'Demographic-Economic'!G$16)*1000*(1+'Inflation-Interest'!$B$58)*(1+'Inflation-Interest'!$B$59)*(1+'Inflation-Interest'!$B$60)* ('Prediction Results (Transposed)'!O$3*($B$8/12)*$B$5+ 'Prediction Results (Transposed)'!O$4*($B$9/12)*$B$6+ 'Prediction Results (Transposed)'!O$5*($B$10/12)*$B$7)*Q17/Q55*(1+$B$15)^($K112-$K$99) * 1/$B$14</f>
        <v>4235395.5944880284</v>
      </c>
      <c r="S112" s="193">
        <v>2060</v>
      </c>
      <c r="T112" s="63">
        <f>('Demographic-Economic'!B$14+'Demographic-Economic'!B$15+'Demographic-Economic'!B$16)*1000*(1+'Inflation-Interest'!$B$58)*(1+'Inflation-Interest'!$B$59)*(1+'Inflation-Interest'!$B$60)* ('Prediction Results (Transposed)'!J$3*($B$8/12*$B$5)+ 'Prediction Results (Transposed)'!J$4*($B$9/12*$B$6)+ 'Prediction Results (Transposed)'!J$5*($B$10/12*$B$7))*T17/T55*(1+$B$15)^($S112-$S$99) * 1/$B$14</f>
        <v>1014415494.8424758</v>
      </c>
      <c r="U112" s="63">
        <f>('Demographic-Economic'!C$14+'Demographic-Economic'!C$15+'Demographic-Economic'!C$16)*1000*(1+'Inflation-Interest'!$B$58)*(1+'Inflation-Interest'!$B$59)*(1+'Inflation-Interest'!$B$60)* ('Prediction Results (Transposed)'!K$3*($B$8/12*$B$5)+ 'Prediction Results (Transposed)'!K$4*($B$9/12*$B$6)+ 'Prediction Results (Transposed)'!K$5*($B$10/12*$B$7))*U17/U55*(1+$B$15)^($S112-$S$99) * 1/$B$14</f>
        <v>1303181952.9436264</v>
      </c>
      <c r="V112" s="63">
        <f>('Demographic-Economic'!D$14+'Demographic-Economic'!D$15+'Demographic-Economic'!D$16)*1000*(1+'Inflation-Interest'!$B$58)*(1+'Inflation-Interest'!$B$59)*(1+'Inflation-Interest'!$B$60)* ('Prediction Results (Transposed)'!L$3*($B$8/12*$B$5)+ 'Prediction Results (Transposed)'!L$4*($B$9/12*$B$6)+ 'Prediction Results (Transposed)'!L$5*($B$10/12*$B$7))*V17/V55*(1+$B$15)^($S112-$S$99) * 1/$B$14</f>
        <v>64719857.443460174</v>
      </c>
      <c r="W112" s="63">
        <f>('Demographic-Economic'!E$14+'Demographic-Economic'!E$15+'Demographic-Economic'!E$16)*1000*(1+'Inflation-Interest'!$B$58)*(1+'Inflation-Interest'!$B$59)*(1+'Inflation-Interest'!$B$60)* ('Prediction Results (Transposed)'!M$3*($B$8/12*$B$5)+ 'Prediction Results (Transposed)'!M$4*($B$9/12*$B$6)+ 'Prediction Results (Transposed)'!M$5*($B$10/12*$B$7))*W17/W55*(1+$B$15)^($S112-$S$99) * 1/$B$14</f>
        <v>7670669.7441493869</v>
      </c>
      <c r="X112" s="63">
        <f>('Demographic-Economic'!F$14+'Demographic-Economic'!F$15+'Demographic-Economic'!F$16)*1000*(1+'Inflation-Interest'!$B$58)*(1+'Inflation-Interest'!$B$59)*(1+'Inflation-Interest'!$B$60)* ('Prediction Results (Transposed)'!N$3*($B$8/12*$B$5)+ 'Prediction Results (Transposed)'!N$4*($B$9/12*$B$6)+ 'Prediction Results (Transposed)'!N$5*($B$10/12*$B$7))*X17/X55*(1+$B$15)^($S112-$S$99) * 1/$B$14</f>
        <v>23509383.414050557</v>
      </c>
      <c r="Y112" s="63">
        <f>('Demographic-Economic'!G$14+'Demographic-Economic'!G$15+'Demographic-Economic'!G$16)*1000*(1+'Inflation-Interest'!$B$58)*(1+'Inflation-Interest'!$B$59)*(1+'Inflation-Interest'!$B$60)* ('Prediction Results (Transposed)'!O$3*($B$8/12*$B$5)+ 'Prediction Results (Transposed)'!O$4*($B$9/12*$B$6)+ 'Prediction Results (Transposed)'!O$5*($B$10/12*$B$7))*Y17/Y55*(1+$B$15)^($S112-$S$99) * 1/$B$14</f>
        <v>5858726.445805314</v>
      </c>
      <c r="AA112" s="193">
        <v>2060</v>
      </c>
      <c r="AB112" s="63">
        <f>('Demographic-Economic'!B$14+'Demographic-Economic'!B$15+'Demographic-Economic'!B$16)*1000*(1+'Inflation-Interest'!$B$58)*(1+'Inflation-Interest'!$B$59)*(1+'Inflation-Interest'!$B$60)* ('Prediction Results (Transposed)'!J$3*($B$8/12*$B$5)+ 'Prediction Results (Transposed)'!J$4*($B$9/12*$B$6)+ 'Prediction Results (Transposed)'!J$5*($B$10/12*$B$7))*AB17/AB55*(1+$B$15)^($AA112-$AA$99)*1/$B$14</f>
        <v>1904071085.8217289</v>
      </c>
      <c r="AC112" s="63">
        <f>('Demographic-Economic'!C$14+'Demographic-Economic'!C$15+'Demographic-Economic'!C$16)*1000*(1+'Inflation-Interest'!$B$58)*(1+'Inflation-Interest'!$B$59)*(1+'Inflation-Interest'!$B$60)* ('Prediction Results (Transposed)'!K$3*($B$8/12*$B$5)+ 'Prediction Results (Transposed)'!K$4*($B$9/12*$B$6)+ 'Prediction Results (Transposed)'!K$5*($B$10/12*$B$7))*AC17/AC55*(1+$B$15)^($AA112-$AA$99)*1/$B$14</f>
        <v>2446089485.7978978</v>
      </c>
      <c r="AD112" s="63">
        <f>('Demographic-Economic'!D$14+'Demographic-Economic'!D$15+'Demographic-Economic'!D$16)*1000*(1+'Inflation-Interest'!$B$58)*(1+'Inflation-Interest'!$B$59)*(1+'Inflation-Interest'!$B$60)* ('Prediction Results (Transposed)'!L$3*($B$8/12*$B$5)+ 'Prediction Results (Transposed)'!L$4*($B$9/12*$B$6)+ 'Prediction Results (Transposed)'!L$5*($B$10/12*$B$7))*AD17/AD55*(1+$B$15)^($AA112-$AA$99)*1/$B$14</f>
        <v>121480014.71106541</v>
      </c>
      <c r="AE112" s="63">
        <f>('Demographic-Economic'!E$14+'Demographic-Economic'!E$15+'Demographic-Economic'!E$16)*1000*(1+'Inflation-Interest'!$B$58)*(1+'Inflation-Interest'!$B$59)*(1+'Inflation-Interest'!$B$60)* ('Prediction Results (Transposed)'!M$3*($B$8/12*$B$5)+ 'Prediction Results (Transposed)'!M$4*($B$9/12*$B$6)+ 'Prediction Results (Transposed)'!M$5*($B$10/12*$B$7))*AE17/AE55*(1+$B$15)^($AA112-$AA$99)*1/$B$14</f>
        <v>14397946.938882703</v>
      </c>
      <c r="AF112" s="63">
        <f>('Demographic-Economic'!F$14+'Demographic-Economic'!F$15+'Demographic-Economic'!F$16)*1000*(1+'Inflation-Interest'!$B$58)*(1+'Inflation-Interest'!$B$59)*(1+'Inflation-Interest'!$B$60)* ('Prediction Results (Transposed)'!N$3*($B$8/12*$B$5)+ 'Prediction Results (Transposed)'!N$4*($B$9/12*$B$6)+ 'Prediction Results (Transposed)'!N$5*($B$10/12*$B$7))*AF17/AF55*(1+$B$15)^($AA112-$AA$99)*1/$B$14</f>
        <v>44127418.628539093</v>
      </c>
      <c r="AG112" s="63">
        <f>('Demographic-Economic'!G$14+'Demographic-Economic'!G$15+'Demographic-Economic'!G$16)*1000*(1+'Inflation-Interest'!$B$58)*(1+'Inflation-Interest'!$B$59)*(1+'Inflation-Interest'!$B$60)* ('Prediction Results (Transposed)'!O$3*($B$8/12*$B$5)+ 'Prediction Results (Transposed)'!O$4*($B$9/12*$B$6)+ 'Prediction Results (Transposed)'!O$5*($B$10/12*$B$7))*AG17/AG55*(1+$B$15)^($AA112-$AA$99)*1/$B$14</f>
        <v>10996905.786547825</v>
      </c>
    </row>
    <row r="113" spans="1:33">
      <c r="A113" s="256"/>
      <c r="B113" s="257"/>
      <c r="C113" s="193">
        <v>2070</v>
      </c>
      <c r="D113" s="63">
        <f>('Demographic-Economic'!B$14+'Demographic-Economic'!B$15+'Demographic-Economic'!B$16)*1000*(1+'Inflation-Interest'!$B$58)*(1+'Inflation-Interest'!$B$59)*(1+'Inflation-Interest'!$B$60)* ('Prediction Results (Transposed)'!J$3*($B$8/12)*$B$5+ 'Prediction Results (Transposed)'!J$4*($B$9/12)*$B$6+ 'Prediction Results (Transposed)'!J$5*($B$10/12)*$B$7)*D18/D56*(1+$B$15)^($C113-$C$99)*1/$B$14</f>
        <v>778389209.0824306</v>
      </c>
      <c r="E113" s="63">
        <f>('Demographic-Economic'!C$14+'Demographic-Economic'!C$15+'Demographic-Economic'!C$16)*1000*(1+'Inflation-Interest'!$B$58)*(1+'Inflation-Interest'!$B$59)*(1+'Inflation-Interest'!$B$60)* ('Prediction Results (Transposed)'!K$3*($B$8/12)*$B$5+ 'Prediction Results (Transposed)'!K$4*($B$9/12)*$B$6+ 'Prediction Results (Transposed)'!K$5*($B$10/12)*$B$7)*E18/E56*(1+$B$15)^($C113-$C$99)*1/$B$14</f>
        <v>999967739.84589577</v>
      </c>
      <c r="F113" s="63">
        <f>('Demographic-Economic'!D$14+'Demographic-Economic'!D$15+'Demographic-Economic'!D$16)*1000*(1+'Inflation-Interest'!$B$58)*(1+'Inflation-Interest'!$B$59)*(1+'Inflation-Interest'!$B$60)* ('Prediction Results (Transposed)'!L$3*($B$8/12)*$B$5+ 'Prediction Results (Transposed)'!L$4*($B$9/12)*$B$6+ 'Prediction Results (Transposed)'!L$5*($B$10/12)*$B$7)*F18/F56*(1+$B$15)^($C113-$C$99)*1/$B$14</f>
        <v>49661345.773474671</v>
      </c>
      <c r="G113" s="63">
        <f>('Demographic-Economic'!E$14+'Demographic-Economic'!E$15+'Demographic-Economic'!E$16)*1000*(1+'Inflation-Interest'!$B$58)*(1+'Inflation-Interest'!$B$59)*(1+'Inflation-Interest'!$B$60)* ('Prediction Results (Transposed)'!M$3*($B$8/12)*$B$5+ 'Prediction Results (Transposed)'!M$4*($B$9/12)*$B$6+ 'Prediction Results (Transposed)'!M$5*($B$10/12)*$B$7)*G18/G56*(1+$B$15)^($C113-$C$99)*1/$B$14</f>
        <v>5885918.132794437</v>
      </c>
      <c r="H113" s="63">
        <f>('Demographic-Economic'!F$14+'Demographic-Economic'!F$15+'Demographic-Economic'!F$16)*1000*(1+'Inflation-Interest'!$B$58)*(1+'Inflation-Interest'!$B$59)*(1+'Inflation-Interest'!$B$60)* ('Prediction Results (Transposed)'!N$3*($B$8/12)*$B$5+ 'Prediction Results (Transposed)'!N$4*($B$9/12)*$B$6+ 'Prediction Results (Transposed)'!N$5*($B$10/12)*$B$7)*H18/H56*(1+$B$15)^($C113-$C$99)*1/$B$14</f>
        <v>18039403.434506945</v>
      </c>
      <c r="I113" s="63">
        <f>('Demographic-Economic'!G$14+'Demographic-Economic'!G$15+'Demographic-Economic'!G$16)*1000*(1+'Inflation-Interest'!$B$58)*(1+'Inflation-Interest'!$B$59)*(1+'Inflation-Interest'!$B$60)* ('Prediction Results (Transposed)'!O$3*($B$8/12)*$B$5+ 'Prediction Results (Transposed)'!O$4*($B$9/12)*$B$6+ 'Prediction Results (Transposed)'!O$5*($B$10/12)*$B$7)*I18/I56*(1+$B$15)^($C113-$C$99)*1/$B$14</f>
        <v>4495563.6694891732</v>
      </c>
      <c r="K113" s="193">
        <v>2070</v>
      </c>
      <c r="L113" s="63">
        <f>('Demographic-Economic'!B$14+'Demographic-Economic'!B$15+'Demographic-Economic'!B$16)*1000*(1+'Inflation-Interest'!$B$58)*(1+'Inflation-Interest'!$B$59)*(1+'Inflation-Interest'!$B$60)* ('Prediction Results (Transposed)'!J$3*($B$8/12)*$B$5+ 'Prediction Results (Transposed)'!J$4*($B$9/12)*$B$6+ 'Prediction Results (Transposed)'!J$5*($B$10/12)*$B$7)*L18/L56*(1+$B$15)^($K113-$K$99) * 1/$B$14</f>
        <v>1119180491.6314037</v>
      </c>
      <c r="M113" s="63">
        <f>('Demographic-Economic'!C$14+'Demographic-Economic'!C$15+'Demographic-Economic'!C$16)*1000*(1+'Inflation-Interest'!$B$58)*(1+'Inflation-Interest'!$B$59)*(1+'Inflation-Interest'!$B$60)* ('Prediction Results (Transposed)'!K$3*($B$8/12)*$B$5+ 'Prediction Results (Transposed)'!K$4*($B$9/12)*$B$6+ 'Prediction Results (Transposed)'!K$5*($B$10/12)*$B$7)*M18/M56*(1+$B$15)^($K113-$K$99) * 1/$B$14</f>
        <v>1437769657.6954436</v>
      </c>
      <c r="N113" s="63">
        <f>('Demographic-Economic'!D$14+'Demographic-Economic'!D$15+'Demographic-Economic'!D$16)*1000*(1+'Inflation-Interest'!$B$58)*(1+'Inflation-Interest'!$B$59)*(1+'Inflation-Interest'!$B$60)* ('Prediction Results (Transposed)'!L$3*($B$8/12)*$B$5+ 'Prediction Results (Transposed)'!L$4*($B$9/12)*$B$6+ 'Prediction Results (Transposed)'!L$5*($B$10/12)*$B$7)*N18/N56*(1+$B$15)^($K113-$K$99) * 1/$B$14</f>
        <v>71403879.613583714</v>
      </c>
      <c r="O113" s="63">
        <f>('Demographic-Economic'!E$14+'Demographic-Economic'!E$15+'Demographic-Economic'!E$16)*1000*(1+'Inflation-Interest'!$B$58)*(1+'Inflation-Interest'!$B$59)*(1+'Inflation-Interest'!$B$60)* ('Prediction Results (Transposed)'!M$3*($B$8/12)*$B$5+ 'Prediction Results (Transposed)'!M$4*($B$9/12)*$B$6+ 'Prediction Results (Transposed)'!M$5*($B$10/12)*$B$7)*O18/O56*(1+$B$15)^($K113-$K$99) * 1/$B$14</f>
        <v>8462867.512421377</v>
      </c>
      <c r="P113" s="63">
        <f>('Demographic-Economic'!F$14+'Demographic-Economic'!F$15+'Demographic-Economic'!F$16)*1000*(1+'Inflation-Interest'!$B$58)*(1+'Inflation-Interest'!$B$59)*(1+'Inflation-Interest'!$B$60)* ('Prediction Results (Transposed)'!N$3*($B$8/12)*$B$5+ 'Prediction Results (Transposed)'!N$4*($B$9/12)*$B$6+ 'Prediction Results (Transposed)'!N$5*($B$10/12)*$B$7)*P18/P56*(1+$B$15)^($K113-$K$99) * 1/$B$14</f>
        <v>25937343.643764064</v>
      </c>
      <c r="Q113" s="63">
        <f>('Demographic-Economic'!G$14+'Demographic-Economic'!G$15+'Demographic-Economic'!G$16)*1000*(1+'Inflation-Interest'!$B$58)*(1+'Inflation-Interest'!$B$59)*(1+'Inflation-Interest'!$B$60)* ('Prediction Results (Transposed)'!O$3*($B$8/12)*$B$5+ 'Prediction Results (Transposed)'!O$4*($B$9/12)*$B$6+ 'Prediction Results (Transposed)'!O$5*($B$10/12)*$B$7)*Q18/Q56*(1+$B$15)^($K113-$K$99) * 1/$B$14</f>
        <v>6463793.5612059031</v>
      </c>
      <c r="S113" s="193">
        <v>2070</v>
      </c>
      <c r="T113" s="63">
        <f>('Demographic-Economic'!B$14+'Demographic-Economic'!B$15+'Demographic-Economic'!B$16)*1000*(1+'Inflation-Interest'!$B$58)*(1+'Inflation-Interest'!$B$59)*(1+'Inflation-Interest'!$B$60)* ('Prediction Results (Transposed)'!J$3*($B$8/12*$B$5)+ 'Prediction Results (Transposed)'!J$4*($B$9/12*$B$6)+ 'Prediction Results (Transposed)'!J$5*($B$10/12*$B$7))*T18/T56*(1+$B$15)^($S113-$S$99) * 1/$B$14</f>
        <v>1825389810.0456946</v>
      </c>
      <c r="U113" s="63">
        <f>('Demographic-Economic'!C$14+'Demographic-Economic'!C$15+'Demographic-Economic'!C$16)*1000*(1+'Inflation-Interest'!$B$58)*(1+'Inflation-Interest'!$B$59)*(1+'Inflation-Interest'!$B$60)* ('Prediction Results (Transposed)'!K$3*($B$8/12*$B$5)+ 'Prediction Results (Transposed)'!K$4*($B$9/12*$B$6)+ 'Prediction Results (Transposed)'!K$5*($B$10/12*$B$7))*U18/U56*(1+$B$15)^($S113-$S$99) * 1/$B$14</f>
        <v>2345010569.7647491</v>
      </c>
      <c r="V113" s="63">
        <f>('Demographic-Economic'!D$14+'Demographic-Economic'!D$15+'Demographic-Economic'!D$16)*1000*(1+'Inflation-Interest'!$B$58)*(1+'Inflation-Interest'!$B$59)*(1+'Inflation-Interest'!$B$60)* ('Prediction Results (Transposed)'!L$3*($B$8/12*$B$5)+ 'Prediction Results (Transposed)'!L$4*($B$9/12*$B$6)+ 'Prediction Results (Transposed)'!L$5*($B$10/12*$B$7))*V18/V56*(1+$B$15)^($S113-$S$99) * 1/$B$14</f>
        <v>116460137.76953147</v>
      </c>
      <c r="W113" s="63">
        <f>('Demographic-Economic'!E$14+'Demographic-Economic'!E$15+'Demographic-Economic'!E$16)*1000*(1+'Inflation-Interest'!$B$58)*(1+'Inflation-Interest'!$B$59)*(1+'Inflation-Interest'!$B$60)* ('Prediction Results (Transposed)'!M$3*($B$8/12*$B$5)+ 'Prediction Results (Transposed)'!M$4*($B$9/12*$B$6)+ 'Prediction Results (Transposed)'!M$5*($B$10/12*$B$7))*W18/W56*(1+$B$15)^($S113-$S$99) * 1/$B$14</f>
        <v>13802985.520612942</v>
      </c>
      <c r="X113" s="63">
        <f>('Demographic-Economic'!F$14+'Demographic-Economic'!F$15+'Demographic-Economic'!F$16)*1000*(1+'Inflation-Interest'!$B$58)*(1+'Inflation-Interest'!$B$59)*(1+'Inflation-Interest'!$B$60)* ('Prediction Results (Transposed)'!N$3*($B$8/12*$B$5)+ 'Prediction Results (Transposed)'!N$4*($B$9/12*$B$6)+ 'Prediction Results (Transposed)'!N$5*($B$10/12*$B$7))*X18/X56*(1+$B$15)^($S113-$S$99) * 1/$B$14</f>
        <v>42303956.458323866</v>
      </c>
      <c r="Y113" s="63">
        <f>('Demographic-Economic'!G$14+'Demographic-Economic'!G$15+'Demographic-Economic'!G$16)*1000*(1+'Inflation-Interest'!$B$58)*(1+'Inflation-Interest'!$B$59)*(1+'Inflation-Interest'!$B$60)* ('Prediction Results (Transposed)'!O$3*($B$8/12*$B$5)+ 'Prediction Results (Transposed)'!O$4*($B$9/12*$B$6)+ 'Prediction Results (Transposed)'!O$5*($B$10/12*$B$7))*Y18/Y56*(1+$B$15)^($S113-$S$99) * 1/$B$14</f>
        <v>10542484.424174679</v>
      </c>
      <c r="AA113" s="193">
        <v>2070</v>
      </c>
      <c r="AB113" s="63">
        <f>('Demographic-Economic'!B$14+'Demographic-Economic'!B$15+'Demographic-Economic'!B$16)*1000*(1+'Inflation-Interest'!$B$58)*(1+'Inflation-Interest'!$B$59)*(1+'Inflation-Interest'!$B$60)* ('Prediction Results (Transposed)'!J$3*($B$8/12*$B$5)+ 'Prediction Results (Transposed)'!J$4*($B$9/12*$B$6)+ 'Prediction Results (Transposed)'!J$5*($B$10/12*$B$7))*AB18/AB56*(1+$B$15)^($AA113-$AA$99)*1/$B$14</f>
        <v>4784511196.9340973</v>
      </c>
      <c r="AC113" s="63">
        <f>('Demographic-Economic'!C$14+'Demographic-Economic'!C$15+'Demographic-Economic'!C$16)*1000*(1+'Inflation-Interest'!$B$58)*(1+'Inflation-Interest'!$B$59)*(1+'Inflation-Interest'!$B$60)* ('Prediction Results (Transposed)'!K$3*($B$8/12*$B$5)+ 'Prediction Results (Transposed)'!K$4*($B$9/12*$B$6)+ 'Prediction Results (Transposed)'!K$5*($B$10/12*$B$7))*AC18/AC56*(1+$B$15)^($AA113-$AA$99)*1/$B$14</f>
        <v>6146484036.5726519</v>
      </c>
      <c r="AD113" s="63">
        <f>('Demographic-Economic'!D$14+'Demographic-Economic'!D$15+'Demographic-Economic'!D$16)*1000*(1+'Inflation-Interest'!$B$58)*(1+'Inflation-Interest'!$B$59)*(1+'Inflation-Interest'!$B$60)* ('Prediction Results (Transposed)'!L$3*($B$8/12*$B$5)+ 'Prediction Results (Transposed)'!L$4*($B$9/12*$B$6)+ 'Prediction Results (Transposed)'!L$5*($B$10/12*$B$7))*AD18/AD56*(1+$B$15)^($AA113-$AA$99)*1/$B$14</f>
        <v>305252516.52460068</v>
      </c>
      <c r="AE113" s="63">
        <f>('Demographic-Economic'!E$14+'Demographic-Economic'!E$15+'Demographic-Economic'!E$16)*1000*(1+'Inflation-Interest'!$B$58)*(1+'Inflation-Interest'!$B$59)*(1+'Inflation-Interest'!$B$60)* ('Prediction Results (Transposed)'!M$3*($B$8/12*$B$5)+ 'Prediction Results (Transposed)'!M$4*($B$9/12*$B$6)+ 'Prediction Results (Transposed)'!M$5*($B$10/12*$B$7))*AE18/AE56*(1+$B$15)^($AA113-$AA$99)*1/$B$14</f>
        <v>36178868.979683124</v>
      </c>
      <c r="AF113" s="63">
        <f>('Demographic-Economic'!F$14+'Demographic-Economic'!F$15+'Demographic-Economic'!F$16)*1000*(1+'Inflation-Interest'!$B$58)*(1+'Inflation-Interest'!$B$59)*(1+'Inflation-Interest'!$B$60)* ('Prediction Results (Transposed)'!N$3*($B$8/12*$B$5)+ 'Prediction Results (Transposed)'!N$4*($B$9/12*$B$6)+ 'Prediction Results (Transposed)'!N$5*($B$10/12*$B$7))*AF18/AF56*(1+$B$15)^($AA113-$AA$99)*1/$B$14</f>
        <v>110882482.32545811</v>
      </c>
      <c r="AG113" s="63">
        <f>('Demographic-Economic'!G$14+'Demographic-Economic'!G$15+'Demographic-Economic'!G$16)*1000*(1+'Inflation-Interest'!$B$58)*(1+'Inflation-Interest'!$B$59)*(1+'Inflation-Interest'!$B$60)* ('Prediction Results (Transposed)'!O$3*($B$8/12*$B$5)+ 'Prediction Results (Transposed)'!O$4*($B$9/12*$B$6)+ 'Prediction Results (Transposed)'!O$5*($B$10/12*$B$7))*AG18/AG56*(1+$B$15)^($AA113-$AA$99)*1/$B$14</f>
        <v>27632801.768354569</v>
      </c>
    </row>
    <row r="114" spans="1:33">
      <c r="A114" s="256"/>
      <c r="B114" s="257"/>
      <c r="C114" s="193">
        <v>2080</v>
      </c>
      <c r="D114" s="63">
        <f>('Demographic-Economic'!B$14+'Demographic-Economic'!B$15+'Demographic-Economic'!B$16)*1000*(1+'Inflation-Interest'!$B$58)*(1+'Inflation-Interest'!$B$59)*(1+'Inflation-Interest'!$B$60)* ('Prediction Results (Transposed)'!J$3*($B$8/12)*$B$5+ 'Prediction Results (Transposed)'!J$4*($B$9/12)*$B$6+ 'Prediction Results (Transposed)'!J$5*($B$10/12)*$B$7)*D19/D57*(1+$B$15)^($C114-$C$99)*1/$B$14</f>
        <v>1060430902.2106684</v>
      </c>
      <c r="E114" s="63">
        <f>('Demographic-Economic'!C$14+'Demographic-Economic'!C$15+'Demographic-Economic'!C$16)*1000*(1+'Inflation-Interest'!$B$58)*(1+'Inflation-Interest'!$B$59)*(1+'Inflation-Interest'!$B$60)* ('Prediction Results (Transposed)'!K$3*($B$8/12)*$B$5+ 'Prediction Results (Transposed)'!K$4*($B$9/12)*$B$6+ 'Prediction Results (Transposed)'!K$5*($B$10/12)*$B$7)*E19/E57*(1+$B$15)^($C114-$C$99)*1/$B$14</f>
        <v>1362296239.687531</v>
      </c>
      <c r="F114" s="63">
        <f>('Demographic-Economic'!D$14+'Demographic-Economic'!D$15+'Demographic-Economic'!D$16)*1000*(1+'Inflation-Interest'!$B$58)*(1+'Inflation-Interest'!$B$59)*(1+'Inflation-Interest'!$B$60)* ('Prediction Results (Transposed)'!L$3*($B$8/12)*$B$5+ 'Prediction Results (Transposed)'!L$4*($B$9/12)*$B$6+ 'Prediction Results (Transposed)'!L$5*($B$10/12)*$B$7)*F19/F57*(1+$B$15)^($C114-$C$99)*1/$B$14</f>
        <v>67655647.186631054</v>
      </c>
      <c r="G114" s="63">
        <f>('Demographic-Economic'!E$14+'Demographic-Economic'!E$15+'Demographic-Economic'!E$16)*1000*(1+'Inflation-Interest'!$B$58)*(1+'Inflation-Interest'!$B$59)*(1+'Inflation-Interest'!$B$60)* ('Prediction Results (Transposed)'!M$3*($B$8/12)*$B$5+ 'Prediction Results (Transposed)'!M$4*($B$9/12)*$B$6+ 'Prediction Results (Transposed)'!M$5*($B$10/12)*$B$7)*G19/G57*(1+$B$15)^($C114-$C$99)*1/$B$14</f>
        <v>8018622.8214224381</v>
      </c>
      <c r="H114" s="63">
        <f>('Demographic-Economic'!F$14+'Demographic-Economic'!F$15+'Demographic-Economic'!F$16)*1000*(1+'Inflation-Interest'!$B$58)*(1+'Inflation-Interest'!$B$59)*(1+'Inflation-Interest'!$B$60)* ('Prediction Results (Transposed)'!N$3*($B$8/12)*$B$5+ 'Prediction Results (Transposed)'!N$4*($B$9/12)*$B$6+ 'Prediction Results (Transposed)'!N$5*($B$10/12)*$B$7)*H19/H57*(1+$B$15)^($C114-$C$99)*1/$B$14</f>
        <v>24575804.284268588</v>
      </c>
      <c r="I114" s="63">
        <f>('Demographic-Economic'!G$14+'Demographic-Economic'!G$15+'Demographic-Economic'!G$16)*1000*(1+'Inflation-Interest'!$B$58)*(1+'Inflation-Interest'!$B$59)*(1+'Inflation-Interest'!$B$60)* ('Prediction Results (Transposed)'!O$3*($B$8/12)*$B$5+ 'Prediction Results (Transposed)'!O$4*($B$9/12)*$B$6+ 'Prediction Results (Transposed)'!O$5*($B$10/12)*$B$7)*I19/I57*(1+$B$15)^($C114-$C$99)*1/$B$14</f>
        <v>6124487.0591173144</v>
      </c>
      <c r="K114" s="193">
        <v>2080</v>
      </c>
      <c r="L114" s="63">
        <f>('Demographic-Economic'!B$14+'Demographic-Economic'!B$15+'Demographic-Economic'!B$16)*1000*(1+'Inflation-Interest'!$B$58)*(1+'Inflation-Interest'!$B$59)*(1+'Inflation-Interest'!$B$60)* ('Prediction Results (Transposed)'!J$3*($B$8/12)*$B$5+ 'Prediction Results (Transposed)'!J$4*($B$9/12)*$B$6+ 'Prediction Results (Transposed)'!J$5*($B$10/12)*$B$7)*L19/L57*(1+$B$15)^($K114-$K$99) * 1/$B$14</f>
        <v>1624307439.0584619</v>
      </c>
      <c r="M114" s="63">
        <f>('Demographic-Economic'!C$14+'Demographic-Economic'!C$15+'Demographic-Economic'!C$16)*1000*(1+'Inflation-Interest'!$B$58)*(1+'Inflation-Interest'!$B$59)*(1+'Inflation-Interest'!$B$60)* ('Prediction Results (Transposed)'!K$3*($B$8/12)*$B$5+ 'Prediction Results (Transposed)'!K$4*($B$9/12)*$B$6+ 'Prediction Results (Transposed)'!K$5*($B$10/12)*$B$7)*M19/M57*(1+$B$15)^($K114-$K$99) * 1/$B$14</f>
        <v>2086687507.6092675</v>
      </c>
      <c r="N114" s="63">
        <f>('Demographic-Economic'!D$14+'Demographic-Economic'!D$15+'Demographic-Economic'!D$16)*1000*(1+'Inflation-Interest'!$B$58)*(1+'Inflation-Interest'!$B$59)*(1+'Inflation-Interest'!$B$60)* ('Prediction Results (Transposed)'!L$3*($B$8/12)*$B$5+ 'Prediction Results (Transposed)'!L$4*($B$9/12)*$B$6+ 'Prediction Results (Transposed)'!L$5*($B$10/12)*$B$7)*N19/N57*(1+$B$15)^($K114-$K$99) * 1/$B$14</f>
        <v>103631052.99031332</v>
      </c>
      <c r="O114" s="63">
        <f>('Demographic-Economic'!E$14+'Demographic-Economic'!E$15+'Demographic-Economic'!E$16)*1000*(1+'Inflation-Interest'!$B$58)*(1+'Inflation-Interest'!$B$59)*(1+'Inflation-Interest'!$B$60)* ('Prediction Results (Transposed)'!M$3*($B$8/12)*$B$5+ 'Prediction Results (Transposed)'!M$4*($B$9/12)*$B$6+ 'Prediction Results (Transposed)'!M$5*($B$10/12)*$B$7)*O19/O57*(1+$B$15)^($K114-$K$99) * 1/$B$14</f>
        <v>12282468.072825821</v>
      </c>
      <c r="P114" s="63">
        <f>('Demographic-Economic'!F$14+'Demographic-Economic'!F$15+'Demographic-Economic'!F$16)*1000*(1+'Inflation-Interest'!$B$58)*(1+'Inflation-Interest'!$B$59)*(1+'Inflation-Interest'!$B$60)* ('Prediction Results (Transposed)'!N$3*($B$8/12)*$B$5+ 'Prediction Results (Transposed)'!N$4*($B$9/12)*$B$6+ 'Prediction Results (Transposed)'!N$5*($B$10/12)*$B$7)*P19/P57*(1+$B$15)^($K114-$K$99) * 1/$B$14</f>
        <v>37643812.18669156</v>
      </c>
      <c r="Q114" s="63">
        <f>('Demographic-Economic'!G$14+'Demographic-Economic'!G$15+'Demographic-Economic'!G$16)*1000*(1+'Inflation-Interest'!$B$58)*(1+'Inflation-Interest'!$B$59)*(1+'Inflation-Interest'!$B$60)* ('Prediction Results (Transposed)'!O$3*($B$8/12)*$B$5+ 'Prediction Results (Transposed)'!O$4*($B$9/12)*$B$6+ 'Prediction Results (Transposed)'!O$5*($B$10/12)*$B$7)*Q19/Q57*(1+$B$15)^($K114-$K$99) * 1/$B$14</f>
        <v>9381139.1857809387</v>
      </c>
      <c r="S114" s="193">
        <v>2080</v>
      </c>
      <c r="T114" s="63">
        <f>('Demographic-Economic'!B$14+'Demographic-Economic'!B$15+'Demographic-Economic'!B$16)*1000*(1+'Inflation-Interest'!$B$58)*(1+'Inflation-Interest'!$B$59)*(1+'Inflation-Interest'!$B$60)* ('Prediction Results (Transposed)'!J$3*($B$8/12*$B$5)+ 'Prediction Results (Transposed)'!J$4*($B$9/12*$B$6)+ 'Prediction Results (Transposed)'!J$5*($B$10/12*$B$7))*T19/T57*(1+$B$15)^($S114-$S$99) * 1/$B$14</f>
        <v>3160104076.2957888</v>
      </c>
      <c r="U114" s="63">
        <f>('Demographic-Economic'!C$14+'Demographic-Economic'!C$15+'Demographic-Economic'!C$16)*1000*(1+'Inflation-Interest'!$B$58)*(1+'Inflation-Interest'!$B$59)*(1+'Inflation-Interest'!$B$60)* ('Prediction Results (Transposed)'!K$3*($B$8/12*$B$5)+ 'Prediction Results (Transposed)'!K$4*($B$9/12*$B$6)+ 'Prediction Results (Transposed)'!K$5*($B$10/12*$B$7))*U19/U57*(1+$B$15)^($S114-$S$99) * 1/$B$14</f>
        <v>4059668471.7357931</v>
      </c>
      <c r="V114" s="63">
        <f>('Demographic-Economic'!D$14+'Demographic-Economic'!D$15+'Demographic-Economic'!D$16)*1000*(1+'Inflation-Interest'!$B$58)*(1+'Inflation-Interest'!$B$59)*(1+'Inflation-Interest'!$B$60)* ('Prediction Results (Transposed)'!L$3*($B$8/12*$B$5)+ 'Prediction Results (Transposed)'!L$4*($B$9/12*$B$6)+ 'Prediction Results (Transposed)'!L$5*($B$10/12*$B$7))*V19/V57*(1+$B$15)^($S114-$S$99) * 1/$B$14</f>
        <v>201615103.83486411</v>
      </c>
      <c r="W114" s="63">
        <f>('Demographic-Economic'!E$14+'Demographic-Economic'!E$15+'Demographic-Economic'!E$16)*1000*(1+'Inflation-Interest'!$B$58)*(1+'Inflation-Interest'!$B$59)*(1+'Inflation-Interest'!$B$60)* ('Prediction Results (Transposed)'!M$3*($B$8/12*$B$5)+ 'Prediction Results (Transposed)'!M$4*($B$9/12*$B$6)+ 'Prediction Results (Transposed)'!M$5*($B$10/12*$B$7))*W19/W57*(1+$B$15)^($S114-$S$99) * 1/$B$14</f>
        <v>23895647.148182999</v>
      </c>
      <c r="X114" s="63">
        <f>('Demographic-Economic'!F$14+'Demographic-Economic'!F$15+'Demographic-Economic'!F$16)*1000*(1+'Inflation-Interest'!$B$58)*(1+'Inflation-Interest'!$B$59)*(1+'Inflation-Interest'!$B$60)* ('Prediction Results (Transposed)'!N$3*($B$8/12*$B$5)+ 'Prediction Results (Transposed)'!N$4*($B$9/12*$B$6)+ 'Prediction Results (Transposed)'!N$5*($B$10/12*$B$7))*X19/X57*(1+$B$15)^($S114-$S$99) * 1/$B$14</f>
        <v>73236359.988249466</v>
      </c>
      <c r="Y114" s="63">
        <f>('Demographic-Economic'!G$14+'Demographic-Economic'!G$15+'Demographic-Economic'!G$16)*1000*(1+'Inflation-Interest'!$B$58)*(1+'Inflation-Interest'!$B$59)*(1+'Inflation-Interest'!$B$60)* ('Prediction Results (Transposed)'!O$3*($B$8/12*$B$5)+ 'Prediction Results (Transposed)'!O$4*($B$9/12*$B$6)+ 'Prediction Results (Transposed)'!O$5*($B$10/12*$B$7))*Y19/Y57*(1+$B$15)^($S114-$S$99) * 1/$B$14</f>
        <v>18251086.87458121</v>
      </c>
      <c r="AA114" s="193">
        <v>2080</v>
      </c>
      <c r="AB114" s="63">
        <f>('Demographic-Economic'!B$14+'Demographic-Economic'!B$15+'Demographic-Economic'!B$16)*1000*(1+'Inflation-Interest'!$B$58)*(1+'Inflation-Interest'!$B$59)*(1+'Inflation-Interest'!$B$60)* ('Prediction Results (Transposed)'!J$3*($B$8/12*$B$5)+ 'Prediction Results (Transposed)'!J$4*($B$9/12*$B$6)+ 'Prediction Results (Transposed)'!J$5*($B$10/12*$B$7))*AB19/AB57*(1+$B$15)^($AA114-$AA$99)*1/$B$14</f>
        <v>12211725925.4813</v>
      </c>
      <c r="AC114" s="63">
        <f>('Demographic-Economic'!C$14+'Demographic-Economic'!C$15+'Demographic-Economic'!C$16)*1000*(1+'Inflation-Interest'!$B$58)*(1+'Inflation-Interest'!$B$59)*(1+'Inflation-Interest'!$B$60)* ('Prediction Results (Transposed)'!K$3*($B$8/12*$B$5)+ 'Prediction Results (Transposed)'!K$4*($B$9/12*$B$6)+ 'Prediction Results (Transposed)'!K$5*($B$10/12*$B$7))*AC19/AC57*(1+$B$15)^($AA114-$AA$99)*1/$B$14</f>
        <v>15687951259.904865</v>
      </c>
      <c r="AD114" s="63">
        <f>('Demographic-Economic'!D$14+'Demographic-Economic'!D$15+'Demographic-Economic'!D$16)*1000*(1+'Inflation-Interest'!$B$58)*(1+'Inflation-Interest'!$B$59)*(1+'Inflation-Interest'!$B$60)* ('Prediction Results (Transposed)'!L$3*($B$8/12*$B$5)+ 'Prediction Results (Transposed)'!L$4*($B$9/12*$B$6)+ 'Prediction Results (Transposed)'!L$5*($B$10/12*$B$7))*AD19/AD57*(1+$B$15)^($AA114-$AA$99)*1/$B$14</f>
        <v>779109906.20119131</v>
      </c>
      <c r="AE114" s="63">
        <f>('Demographic-Economic'!E$14+'Demographic-Economic'!E$15+'Demographic-Economic'!E$16)*1000*(1+'Inflation-Interest'!$B$58)*(1+'Inflation-Interest'!$B$59)*(1+'Inflation-Interest'!$B$60)* ('Prediction Results (Transposed)'!M$3*($B$8/12*$B$5)+ 'Prediction Results (Transposed)'!M$4*($B$9/12*$B$6)+ 'Prediction Results (Transposed)'!M$5*($B$10/12*$B$7))*AE19/AE57*(1+$B$15)^($AA114-$AA$99)*1/$B$14</f>
        <v>92340975.721176282</v>
      </c>
      <c r="AF114" s="63">
        <f>('Demographic-Economic'!F$14+'Demographic-Economic'!F$15+'Demographic-Economic'!F$16)*1000*(1+'Inflation-Interest'!$B$58)*(1+'Inflation-Interest'!$B$59)*(1+'Inflation-Interest'!$B$60)* ('Prediction Results (Transposed)'!N$3*($B$8/12*$B$5)+ 'Prediction Results (Transposed)'!N$4*($B$9/12*$B$6)+ 'Prediction Results (Transposed)'!N$5*($B$10/12*$B$7))*AF19/AF57*(1+$B$15)^($AA114-$AA$99)*1/$B$14</f>
        <v>283010411.79780304</v>
      </c>
      <c r="AG114" s="63">
        <f>('Demographic-Economic'!G$14+'Demographic-Economic'!G$15+'Demographic-Economic'!G$16)*1000*(1+'Inflation-Interest'!$B$58)*(1+'Inflation-Interest'!$B$59)*(1+'Inflation-Interest'!$B$60)* ('Prediction Results (Transposed)'!O$3*($B$8/12*$B$5)+ 'Prediction Results (Transposed)'!O$4*($B$9/12*$B$6)+ 'Prediction Results (Transposed)'!O$5*($B$10/12*$B$7))*AG19/AG57*(1+$B$15)^($AA114-$AA$99)*1/$B$14</f>
        <v>70528458.991701022</v>
      </c>
    </row>
    <row r="115" spans="1:33">
      <c r="A115" s="256"/>
      <c r="B115" s="257"/>
      <c r="C115" s="193">
        <v>2090</v>
      </c>
      <c r="D115" s="63">
        <f>('Demographic-Economic'!B$14+'Demographic-Economic'!B$15+'Demographic-Economic'!B$16)*1000*(1+'Inflation-Interest'!$B$58)*(1+'Inflation-Interest'!$B$59)*(1+'Inflation-Interest'!$B$60)* ('Prediction Results (Transposed)'!J$3*($B$8/12)*$B$5+ 'Prediction Results (Transposed)'!J$4*($B$9/12)*$B$6+ 'Prediction Results (Transposed)'!J$5*($B$10/12)*$B$7)*D20/D58*(1+$B$15)^($C115-$C$99)*1/$B$14</f>
        <v>1392544369.0740969</v>
      </c>
      <c r="E115" s="63">
        <f>('Demographic-Economic'!C$14+'Demographic-Economic'!C$15+'Demographic-Economic'!C$16)*1000*(1+'Inflation-Interest'!$B$58)*(1+'Inflation-Interest'!$B$59)*(1+'Inflation-Interest'!$B$60)* ('Prediction Results (Transposed)'!K$3*($B$8/12)*$B$5+ 'Prediction Results (Transposed)'!K$4*($B$9/12)*$B$6+ 'Prediction Results (Transposed)'!K$5*($B$10/12)*$B$7)*E20/E58*(1+$B$15)^($C115-$C$99)*1/$B$14</f>
        <v>1788950089.6596961</v>
      </c>
      <c r="F115" s="63">
        <f>('Demographic-Economic'!D$14+'Demographic-Economic'!D$15+'Demographic-Economic'!D$16)*1000*(1+'Inflation-Interest'!$B$58)*(1+'Inflation-Interest'!$B$59)*(1+'Inflation-Interest'!$B$60)* ('Prediction Results (Transposed)'!L$3*($B$8/12)*$B$5+ 'Prediction Results (Transposed)'!L$4*($B$9/12)*$B$6+ 'Prediction Results (Transposed)'!L$5*($B$10/12)*$B$7)*F20/F58*(1+$B$15)^($C115-$C$99)*1/$B$14</f>
        <v>88844535.112472713</v>
      </c>
      <c r="G115" s="63">
        <f>('Demographic-Economic'!E$14+'Demographic-Economic'!E$15+'Demographic-Economic'!E$16)*1000*(1+'Inflation-Interest'!$B$58)*(1+'Inflation-Interest'!$B$59)*(1+'Inflation-Interest'!$B$60)* ('Prediction Results (Transposed)'!M$3*($B$8/12)*$B$5+ 'Prediction Results (Transposed)'!M$4*($B$9/12)*$B$6+ 'Prediction Results (Transposed)'!M$5*($B$10/12)*$B$7)*G20/G58*(1+$B$15)^($C115-$C$99)*1/$B$14</f>
        <v>10529953.469313867</v>
      </c>
      <c r="H115" s="63">
        <f>('Demographic-Economic'!F$14+'Demographic-Economic'!F$15+'Demographic-Economic'!F$16)*1000*(1+'Inflation-Interest'!$B$58)*(1+'Inflation-Interest'!$B$59)*(1+'Inflation-Interest'!$B$60)* ('Prediction Results (Transposed)'!N$3*($B$8/12)*$B$5+ 'Prediction Results (Transposed)'!N$4*($B$9/12)*$B$6+ 'Prediction Results (Transposed)'!N$5*($B$10/12)*$B$7)*H20/H58*(1+$B$15)^($C115-$C$99)*1/$B$14</f>
        <v>32272633.511699069</v>
      </c>
      <c r="I115" s="63">
        <f>('Demographic-Economic'!G$14+'Demographic-Economic'!G$15+'Demographic-Economic'!G$16)*1000*(1+'Inflation-Interest'!$B$58)*(1+'Inflation-Interest'!$B$59)*(1+'Inflation-Interest'!$B$60)* ('Prediction Results (Transposed)'!O$3*($B$8/12)*$B$5+ 'Prediction Results (Transposed)'!O$4*($B$9/12)*$B$6+ 'Prediction Results (Transposed)'!O$5*($B$10/12)*$B$7)*I20/I58*(1+$B$15)^($C115-$C$99)*1/$B$14</f>
        <v>8042598.4850700554</v>
      </c>
      <c r="K115" s="193">
        <v>2090</v>
      </c>
      <c r="L115" s="63">
        <f>('Demographic-Economic'!B$14+'Demographic-Economic'!B$15+'Demographic-Economic'!B$16)*1000*(1+'Inflation-Interest'!$B$58)*(1+'Inflation-Interest'!$B$59)*(1+'Inflation-Interest'!$B$60)* ('Prediction Results (Transposed)'!J$3*($B$8/12)*$B$5+ 'Prediction Results (Transposed)'!J$4*($B$9/12)*$B$6+ 'Prediction Results (Transposed)'!J$5*($B$10/12)*$B$7)*L20/L58*(1+$B$15)^($K115-$K$99) * 1/$B$14</f>
        <v>2273250559.1295848</v>
      </c>
      <c r="M115" s="63">
        <f>('Demographic-Economic'!C$14+'Demographic-Economic'!C$15+'Demographic-Economic'!C$16)*1000*(1+'Inflation-Interest'!$B$58)*(1+'Inflation-Interest'!$B$59)*(1+'Inflation-Interest'!$B$60)* ('Prediction Results (Transposed)'!K$3*($B$8/12)*$B$5+ 'Prediction Results (Transposed)'!K$4*($B$9/12)*$B$6+ 'Prediction Results (Transposed)'!K$5*($B$10/12)*$B$7)*M20/M58*(1+$B$15)^($K115-$K$99) * 1/$B$14</f>
        <v>2920360659.1564445</v>
      </c>
      <c r="N115" s="63">
        <f>('Demographic-Economic'!D$14+'Demographic-Economic'!D$15+'Demographic-Economic'!D$16)*1000*(1+'Inflation-Interest'!$B$58)*(1+'Inflation-Interest'!$B$59)*(1+'Inflation-Interest'!$B$60)* ('Prediction Results (Transposed)'!L$3*($B$8/12)*$B$5+ 'Prediction Results (Transposed)'!L$4*($B$9/12)*$B$6+ 'Prediction Results (Transposed)'!L$5*($B$10/12)*$B$7)*N20/N58*(1+$B$15)^($K115-$K$99) * 1/$B$14</f>
        <v>145033719.28775513</v>
      </c>
      <c r="O115" s="63">
        <f>('Demographic-Economic'!E$14+'Demographic-Economic'!E$15+'Demographic-Economic'!E$16)*1000*(1+'Inflation-Interest'!$B$58)*(1+'Inflation-Interest'!$B$59)*(1+'Inflation-Interest'!$B$60)* ('Prediction Results (Transposed)'!M$3*($B$8/12)*$B$5+ 'Prediction Results (Transposed)'!M$4*($B$9/12)*$B$6+ 'Prediction Results (Transposed)'!M$5*($B$10/12)*$B$7)*O20/O58*(1+$B$15)^($K115-$K$99) * 1/$B$14</f>
        <v>17189558.295828033</v>
      </c>
      <c r="P115" s="63">
        <f>('Demographic-Economic'!F$14+'Demographic-Economic'!F$15+'Demographic-Economic'!F$16)*1000*(1+'Inflation-Interest'!$B$58)*(1+'Inflation-Interest'!$B$59)*(1+'Inflation-Interest'!$B$60)* ('Prediction Results (Transposed)'!N$3*($B$8/12)*$B$5+ 'Prediction Results (Transposed)'!N$4*($B$9/12)*$B$6+ 'Prediction Results (Transposed)'!N$5*($B$10/12)*$B$7)*P20/P58*(1+$B$15)^($K115-$K$99) * 1/$B$14</f>
        <v>52683263.674990587</v>
      </c>
      <c r="Q115" s="63">
        <f>('Demographic-Economic'!G$14+'Demographic-Economic'!G$15+'Demographic-Economic'!G$16)*1000*(1+'Inflation-Interest'!$B$58)*(1+'Inflation-Interest'!$B$59)*(1+'Inflation-Interest'!$B$60)* ('Prediction Results (Transposed)'!O$3*($B$8/12)*$B$5+ 'Prediction Results (Transposed)'!O$4*($B$9/12)*$B$6+ 'Prediction Results (Transposed)'!O$5*($B$10/12)*$B$7)*Q20/Q58*(1+$B$15)^($K115-$K$99) * 1/$B$14</f>
        <v>13129090.827602511</v>
      </c>
      <c r="S115" s="193">
        <v>2090</v>
      </c>
      <c r="T115" s="63">
        <f>('Demographic-Economic'!B$14+'Demographic-Economic'!B$15+'Demographic-Economic'!B$16)*1000*(1+'Inflation-Interest'!$B$58)*(1+'Inflation-Interest'!$B$59)*(1+'Inflation-Interest'!$B$60)* ('Prediction Results (Transposed)'!J$3*($B$8/12*$B$5)+ 'Prediction Results (Transposed)'!J$4*($B$9/12*$B$6)+ 'Prediction Results (Transposed)'!J$5*($B$10/12*$B$7))*T20/T58*(1+$B$15)^($S115-$S$99) * 1/$B$14</f>
        <v>5316523335.1138058</v>
      </c>
      <c r="U115" s="63">
        <f>('Demographic-Economic'!C$14+'Demographic-Economic'!C$15+'Demographic-Economic'!C$16)*1000*(1+'Inflation-Interest'!$B$58)*(1+'Inflation-Interest'!$B$59)*(1+'Inflation-Interest'!$B$60)* ('Prediction Results (Transposed)'!K$3*($B$8/12*$B$5)+ 'Prediction Results (Transposed)'!K$4*($B$9/12*$B$6)+ 'Prediction Results (Transposed)'!K$5*($B$10/12*$B$7))*U20/U58*(1+$B$15)^($S115-$S$99) * 1/$B$14</f>
        <v>6829940293.6464939</v>
      </c>
      <c r="V115" s="63">
        <f>('Demographic-Economic'!D$14+'Demographic-Economic'!D$15+'Demographic-Economic'!D$16)*1000*(1+'Inflation-Interest'!$B$58)*(1+'Inflation-Interest'!$B$59)*(1+'Inflation-Interest'!$B$60)* ('Prediction Results (Transposed)'!L$3*($B$8/12*$B$5)+ 'Prediction Results (Transposed)'!L$4*($B$9/12*$B$6)+ 'Prediction Results (Transposed)'!L$5*($B$10/12*$B$7))*V20/V58*(1+$B$15)^($S115-$S$99) * 1/$B$14</f>
        <v>339194969.01693743</v>
      </c>
      <c r="W115" s="63">
        <f>('Demographic-Economic'!E$14+'Demographic-Economic'!E$15+'Demographic-Economic'!E$16)*1000*(1+'Inflation-Interest'!$B$58)*(1+'Inflation-Interest'!$B$59)*(1+'Inflation-Interest'!$B$60)* ('Prediction Results (Transposed)'!M$3*($B$8/12*$B$5)+ 'Prediction Results (Transposed)'!M$4*($B$9/12*$B$6)+ 'Prediction Results (Transposed)'!M$5*($B$10/12*$B$7))*W20/W58*(1+$B$15)^($S115-$S$99) * 1/$B$14</f>
        <v>40201766.335454486</v>
      </c>
      <c r="X115" s="63">
        <f>('Demographic-Economic'!F$14+'Demographic-Economic'!F$15+'Demographic-Economic'!F$16)*1000*(1+'Inflation-Interest'!$B$58)*(1+'Inflation-Interest'!$B$59)*(1+'Inflation-Interest'!$B$60)* ('Prediction Results (Transposed)'!N$3*($B$8/12*$B$5)+ 'Prediction Results (Transposed)'!N$4*($B$9/12*$B$6)+ 'Prediction Results (Transposed)'!N$5*($B$10/12*$B$7))*X20/X58*(1+$B$15)^($S115-$S$99) * 1/$B$14</f>
        <v>123212023.22954077</v>
      </c>
      <c r="Y115" s="63">
        <f>('Demographic-Economic'!G$14+'Demographic-Economic'!G$15+'Demographic-Economic'!G$16)*1000*(1+'Inflation-Interest'!$B$58)*(1+'Inflation-Interest'!$B$59)*(1+'Inflation-Interest'!$B$60)* ('Prediction Results (Transposed)'!O$3*($B$8/12*$B$5)+ 'Prediction Results (Transposed)'!O$4*($B$9/12*$B$6)+ 'Prediction Results (Transposed)'!O$5*($B$10/12*$B$7))*Y20/Y58*(1+$B$15)^($S115-$S$99) * 1/$B$14</f>
        <v>30705422.010543283</v>
      </c>
      <c r="AA115" s="193">
        <v>2090</v>
      </c>
      <c r="AB115" s="63">
        <f>('Demographic-Economic'!B$14+'Demographic-Economic'!B$15+'Demographic-Economic'!B$16)*1000*(1+'Inflation-Interest'!$B$58)*(1+'Inflation-Interest'!$B$59)*(1+'Inflation-Interest'!$B$60)* ('Prediction Results (Transposed)'!J$3*($B$8/12*$B$5)+ 'Prediction Results (Transposed)'!J$4*($B$9/12*$B$6)+ 'Prediction Results (Transposed)'!J$5*($B$10/12*$B$7))*AB20/AB58*(1+$B$15)^($AA115-$AA$99)*1/$B$14</f>
        <v>30379788129.804745</v>
      </c>
      <c r="AC115" s="63">
        <f>('Demographic-Economic'!C$14+'Demographic-Economic'!C$15+'Demographic-Economic'!C$16)*1000*(1+'Inflation-Interest'!$B$58)*(1+'Inflation-Interest'!$B$59)*(1+'Inflation-Interest'!$B$60)* ('Prediction Results (Transposed)'!K$3*($B$8/12*$B$5)+ 'Prediction Results (Transposed)'!K$4*($B$9/12*$B$6)+ 'Prediction Results (Transposed)'!K$5*($B$10/12*$B$7))*AC20/AC58*(1+$B$15)^($AA115-$AA$99)*1/$B$14</f>
        <v>39027786766.171555</v>
      </c>
      <c r="AD115" s="63">
        <f>('Demographic-Economic'!D$14+'Demographic-Economic'!D$15+'Demographic-Economic'!D$16)*1000*(1+'Inflation-Interest'!$B$58)*(1+'Inflation-Interest'!$B$59)*(1+'Inflation-Interest'!$B$60)* ('Prediction Results (Transposed)'!L$3*($B$8/12*$B$5)+ 'Prediction Results (Transposed)'!L$4*($B$9/12*$B$6)+ 'Prediction Results (Transposed)'!L$5*($B$10/12*$B$7))*AD20/AD58*(1+$B$15)^($AA115-$AA$99)*1/$B$14</f>
        <v>1938234941.1261754</v>
      </c>
      <c r="AE115" s="63">
        <f>('Demographic-Economic'!E$14+'Demographic-Economic'!E$15+'Demographic-Economic'!E$16)*1000*(1+'Inflation-Interest'!$B$58)*(1+'Inflation-Interest'!$B$59)*(1+'Inflation-Interest'!$B$60)* ('Prediction Results (Transposed)'!M$3*($B$8/12*$B$5)+ 'Prediction Results (Transposed)'!M$4*($B$9/12*$B$6)+ 'Prediction Results (Transposed)'!M$5*($B$10/12*$B$7))*AE20/AE58*(1+$B$15)^($AA115-$AA$99)*1/$B$14</f>
        <v>229721768.66950232</v>
      </c>
      <c r="AF115" s="63">
        <f>('Demographic-Economic'!F$14+'Demographic-Economic'!F$15+'Demographic-Economic'!F$16)*1000*(1+'Inflation-Interest'!$B$58)*(1+'Inflation-Interest'!$B$59)*(1+'Inflation-Interest'!$B$60)* ('Prediction Results (Transposed)'!N$3*($B$8/12*$B$5)+ 'Prediction Results (Transposed)'!N$4*($B$9/12*$B$6)+ 'Prediction Results (Transposed)'!N$5*($B$10/12*$B$7))*AF20/AF58*(1+$B$15)^($AA115-$AA$99)*1/$B$14</f>
        <v>704060703.73768115</v>
      </c>
      <c r="AG115" s="63">
        <f>('Demographic-Economic'!G$14+'Demographic-Economic'!G$15+'Demographic-Economic'!G$16)*1000*(1+'Inflation-Interest'!$B$58)*(1+'Inflation-Interest'!$B$59)*(1+'Inflation-Interest'!$B$60)* ('Prediction Results (Transposed)'!O$3*($B$8/12*$B$5)+ 'Prediction Results (Transposed)'!O$4*($B$9/12*$B$6)+ 'Prediction Results (Transposed)'!O$5*($B$10/12*$B$7))*AG20/AG58*(1+$B$15)^($AA115-$AA$99)*1/$B$14</f>
        <v>175457560.57451412</v>
      </c>
    </row>
    <row r="116" spans="1:33">
      <c r="A116" s="256"/>
      <c r="B116" s="257"/>
      <c r="C116" s="193">
        <v>2100</v>
      </c>
      <c r="D116" s="63">
        <f>('Demographic-Economic'!B$14+'Demographic-Economic'!B$15+'Demographic-Economic'!B$16)*1000*(1+'Inflation-Interest'!$B$58)*(1+'Inflation-Interest'!$B$59)*(1+'Inflation-Interest'!$B$60)* ('Prediction Results (Transposed)'!J$3*($B$8/12)*$B$5+ 'Prediction Results (Transposed)'!J$4*($B$9/12)*$B$6+ 'Prediction Results (Transposed)'!J$5*($B$10/12)*$B$7)*D21/D59*(1+$B$15)^($C116-$C$99)*1/$B$14</f>
        <v>1821805866.5607488</v>
      </c>
      <c r="E116" s="63">
        <f>('Demographic-Economic'!C$14+'Demographic-Economic'!C$15+'Demographic-Economic'!C$16)*1000*(1+'Inflation-Interest'!$B$58)*(1+'Inflation-Interest'!$B$59)*(1+'Inflation-Interest'!$B$60)* ('Prediction Results (Transposed)'!K$3*($B$8/12)*$B$5+ 'Prediction Results (Transposed)'!K$4*($B$9/12)*$B$6+ 'Prediction Results (Transposed)'!K$5*($B$10/12)*$B$7)*E21/E59*(1+$B$15)^($C116-$C$99)*1/$B$14</f>
        <v>2340406410.5285215</v>
      </c>
      <c r="F116" s="63">
        <f>('Demographic-Economic'!D$14+'Demographic-Economic'!D$15+'Demographic-Economic'!D$16)*1000*(1+'Inflation-Interest'!$B$58)*(1+'Inflation-Interest'!$B$59)*(1+'Inflation-Interest'!$B$60)* ('Prediction Results (Transposed)'!L$3*($B$8/12)*$B$5+ 'Prediction Results (Transposed)'!L$4*($B$9/12)*$B$6+ 'Prediction Results (Transposed)'!L$5*($B$10/12)*$B$7)*F21/F59*(1+$B$15)^($C116-$C$99)*1/$B$14</f>
        <v>116231481.64922337</v>
      </c>
      <c r="G116" s="63">
        <f>('Demographic-Economic'!E$14+'Demographic-Economic'!E$15+'Demographic-Economic'!E$16)*1000*(1+'Inflation-Interest'!$B$58)*(1+'Inflation-Interest'!$B$59)*(1+'Inflation-Interest'!$B$60)* ('Prediction Results (Transposed)'!M$3*($B$8/12)*$B$5+ 'Prediction Results (Transposed)'!M$4*($B$9/12)*$B$6+ 'Prediction Results (Transposed)'!M$5*($B$10/12)*$B$7)*G21/G59*(1+$B$15)^($C116-$C$99)*1/$B$14</f>
        <v>13775884.942009311</v>
      </c>
      <c r="H116" s="63">
        <f>('Demographic-Economic'!F$14+'Demographic-Economic'!F$15+'Demographic-Economic'!F$16)*1000*(1+'Inflation-Interest'!$B$58)*(1+'Inflation-Interest'!$B$59)*(1+'Inflation-Interest'!$B$60)* ('Prediction Results (Transposed)'!N$3*($B$8/12)*$B$5+ 'Prediction Results (Transposed)'!N$4*($B$9/12)*$B$6+ 'Prediction Results (Transposed)'!N$5*($B$10/12)*$B$7)*H21/H59*(1+$B$15)^($C116-$C$99)*1/$B$14</f>
        <v>42220897.492889814</v>
      </c>
      <c r="I116" s="63">
        <f>('Demographic-Economic'!G$14+'Demographic-Economic'!G$15+'Demographic-Economic'!G$16)*1000*(1+'Inflation-Interest'!$B$58)*(1+'Inflation-Interest'!$B$59)*(1+'Inflation-Interest'!$B$60)* ('Prediction Results (Transposed)'!O$3*($B$8/12)*$B$5+ 'Prediction Results (Transposed)'!O$4*($B$9/12)*$B$6+ 'Prediction Results (Transposed)'!O$5*($B$10/12)*$B$7)*I21/I59*(1+$B$15)^($C116-$C$99)*1/$B$14</f>
        <v>10521785.465432148</v>
      </c>
      <c r="K116" s="193">
        <v>2100</v>
      </c>
      <c r="L116" s="63">
        <f>('Demographic-Economic'!B$14+'Demographic-Economic'!B$15+'Demographic-Economic'!B$16)*1000*(1+'Inflation-Interest'!$B$58)*(1+'Inflation-Interest'!$B$59)*(1+'Inflation-Interest'!$B$60)* ('Prediction Results (Transposed)'!J$3*($B$8/12)*$B$5+ 'Prediction Results (Transposed)'!J$4*($B$9/12)*$B$6+ 'Prediction Results (Transposed)'!J$5*($B$10/12)*$B$7)*L21/L59*(1+$B$15)^($K116-$K$99) * 1/$B$14</f>
        <v>3117355510.6890621</v>
      </c>
      <c r="M116" s="63">
        <f>('Demographic-Economic'!C$14+'Demographic-Economic'!C$15+'Demographic-Economic'!C$16)*1000*(1+'Inflation-Interest'!$B$58)*(1+'Inflation-Interest'!$B$59)*(1+'Inflation-Interest'!$B$60)* ('Prediction Results (Transposed)'!K$3*($B$8/12)*$B$5+ 'Prediction Results (Transposed)'!K$4*($B$9/12)*$B$6+ 'Prediction Results (Transposed)'!K$5*($B$10/12)*$B$7)*M21/M59*(1+$B$15)^($K116-$K$99) * 1/$B$14</f>
        <v>4004750975.4079542</v>
      </c>
      <c r="N116" s="63">
        <f>('Demographic-Economic'!D$14+'Demographic-Economic'!D$15+'Demographic-Economic'!D$16)*1000*(1+'Inflation-Interest'!$B$58)*(1+'Inflation-Interest'!$B$59)*(1+'Inflation-Interest'!$B$60)* ('Prediction Results (Transposed)'!L$3*($B$8/12)*$B$5+ 'Prediction Results (Transposed)'!L$4*($B$9/12)*$B$6+ 'Prediction Results (Transposed)'!L$5*($B$10/12)*$B$7)*N21/N59*(1+$B$15)^($K116-$K$99) * 1/$B$14</f>
        <v>198887739.07550639</v>
      </c>
      <c r="O116" s="63">
        <f>('Demographic-Economic'!E$14+'Demographic-Economic'!E$15+'Demographic-Economic'!E$16)*1000*(1+'Inflation-Interest'!$B$58)*(1+'Inflation-Interest'!$B$59)*(1+'Inflation-Interest'!$B$60)* ('Prediction Results (Transposed)'!M$3*($B$8/12)*$B$5+ 'Prediction Results (Transposed)'!M$4*($B$9/12)*$B$6+ 'Prediction Results (Transposed)'!M$5*($B$10/12)*$B$7)*O21/O59*(1+$B$15)^($K116-$K$99) * 1/$B$14</f>
        <v>23572396.832634307</v>
      </c>
      <c r="P116" s="63">
        <f>('Demographic-Economic'!F$14+'Demographic-Economic'!F$15+'Demographic-Economic'!F$16)*1000*(1+'Inflation-Interest'!$B$58)*(1+'Inflation-Interest'!$B$59)*(1+'Inflation-Interest'!$B$60)* ('Prediction Results (Transposed)'!N$3*($B$8/12)*$B$5+ 'Prediction Results (Transposed)'!N$4*($B$9/12)*$B$6+ 'Prediction Results (Transposed)'!N$5*($B$10/12)*$B$7)*P21/P59*(1+$B$15)^($K116-$K$99) * 1/$B$14</f>
        <v>72245649.155894414</v>
      </c>
      <c r="Q116" s="63">
        <f>('Demographic-Economic'!G$14+'Demographic-Economic'!G$15+'Demographic-Economic'!G$16)*1000*(1+'Inflation-Interest'!$B$58)*(1+'Inflation-Interest'!$B$59)*(1+'Inflation-Interest'!$B$60)* ('Prediction Results (Transposed)'!O$3*($B$8/12)*$B$5+ 'Prediction Results (Transposed)'!O$4*($B$9/12)*$B$6+ 'Prediction Results (Transposed)'!O$5*($B$10/12)*$B$7)*Q21/Q59*(1+$B$15)^($K116-$K$99) * 1/$B$14</f>
        <v>18004193.808462109</v>
      </c>
      <c r="S116" s="193">
        <v>2100</v>
      </c>
      <c r="T116" s="63">
        <f>('Demographic-Economic'!B$14+'Demographic-Economic'!B$15+'Demographic-Economic'!B$16)*1000*(1+'Inflation-Interest'!$B$58)*(1+'Inflation-Interest'!$B$59)*(1+'Inflation-Interest'!$B$60)* ('Prediction Results (Transposed)'!J$3*($B$8/12*$B$5)+ 'Prediction Results (Transposed)'!J$4*($B$9/12*$B$6)+ 'Prediction Results (Transposed)'!J$5*($B$10/12*$B$7))*T21/T59*(1+$B$15)^($S116-$S$99) * 1/$B$14</f>
        <v>8825935897.6927547</v>
      </c>
      <c r="U116" s="63">
        <f>('Demographic-Economic'!C$14+'Demographic-Economic'!C$15+'Demographic-Economic'!C$16)*1000*(1+'Inflation-Interest'!$B$58)*(1+'Inflation-Interest'!$B$59)*(1+'Inflation-Interest'!$B$60)* ('Prediction Results (Transposed)'!K$3*($B$8/12*$B$5)+ 'Prediction Results (Transposed)'!K$4*($B$9/12*$B$6)+ 'Prediction Results (Transposed)'!K$5*($B$10/12*$B$7))*U21/U59*(1+$B$15)^($S116-$S$99) * 1/$B$14</f>
        <v>11338352418.89377</v>
      </c>
      <c r="V116" s="63">
        <f>('Demographic-Economic'!D$14+'Demographic-Economic'!D$15+'Demographic-Economic'!D$16)*1000*(1+'Inflation-Interest'!$B$58)*(1+'Inflation-Interest'!$B$59)*(1+'Inflation-Interest'!$B$60)* ('Prediction Results (Transposed)'!L$3*($B$8/12*$B$5)+ 'Prediction Results (Transposed)'!L$4*($B$9/12*$B$6)+ 'Prediction Results (Transposed)'!L$5*($B$10/12*$B$7))*V21/V59*(1+$B$15)^($S116-$S$99) * 1/$B$14</f>
        <v>563096005.54011047</v>
      </c>
      <c r="W116" s="63">
        <f>('Demographic-Economic'!E$14+'Demographic-Economic'!E$15+'Demographic-Economic'!E$16)*1000*(1+'Inflation-Interest'!$B$58)*(1+'Inflation-Interest'!$B$59)*(1+'Inflation-Interest'!$B$60)* ('Prediction Results (Transposed)'!M$3*($B$8/12*$B$5)+ 'Prediction Results (Transposed)'!M$4*($B$9/12*$B$6)+ 'Prediction Results (Transposed)'!M$5*($B$10/12*$B$7))*W21/W59*(1+$B$15)^($S116-$S$99) * 1/$B$14</f>
        <v>66738767.101291887</v>
      </c>
      <c r="X116" s="63">
        <f>('Demographic-Economic'!F$14+'Demographic-Economic'!F$15+'Demographic-Economic'!F$16)*1000*(1+'Inflation-Interest'!$B$58)*(1+'Inflation-Interest'!$B$59)*(1+'Inflation-Interest'!$B$60)* ('Prediction Results (Transposed)'!N$3*($B$8/12*$B$5)+ 'Prediction Results (Transposed)'!N$4*($B$9/12*$B$6)+ 'Prediction Results (Transposed)'!N$5*($B$10/12*$B$7))*X21/X59*(1+$B$15)^($S116-$S$99) * 1/$B$14</f>
        <v>204543712.1787183</v>
      </c>
      <c r="Y116" s="63">
        <f>('Demographic-Economic'!G$14+'Demographic-Economic'!G$15+'Demographic-Economic'!G$16)*1000*(1+'Inflation-Interest'!$B$58)*(1+'Inflation-Interest'!$B$59)*(1+'Inflation-Interest'!$B$60)* ('Prediction Results (Transposed)'!O$3*($B$8/12*$B$5)+ 'Prediction Results (Transposed)'!O$4*($B$9/12*$B$6)+ 'Prediction Results (Transposed)'!O$5*($B$10/12*$B$7))*Y21/Y59*(1+$B$15)^($S116-$S$99) * 1/$B$14</f>
        <v>50973929.633068763</v>
      </c>
      <c r="AA116" s="193">
        <v>2100</v>
      </c>
      <c r="AB116" s="63">
        <f>('Demographic-Economic'!B$14+'Demographic-Economic'!B$15+'Demographic-Economic'!B$16)*1000*(1+'Inflation-Interest'!$B$58)*(1+'Inflation-Interest'!$B$59)*(1+'Inflation-Interest'!$B$60)* ('Prediction Results (Transposed)'!J$3*($B$8/12*$B$5)+ 'Prediction Results (Transposed)'!J$4*($B$9/12*$B$6)+ 'Prediction Results (Transposed)'!J$5*($B$10/12*$B$7))*AB21/AB59*(1+$B$15)^($AA116-$AA$99)*1/$B$14</f>
        <v>71560392742.616272</v>
      </c>
      <c r="AC116" s="63">
        <f>('Demographic-Economic'!C$14+'Demographic-Economic'!C$15+'Demographic-Economic'!C$16)*1000*(1+'Inflation-Interest'!$B$58)*(1+'Inflation-Interest'!$B$59)*(1+'Inflation-Interest'!$B$60)* ('Prediction Results (Transposed)'!K$3*($B$8/12*$B$5)+ 'Prediction Results (Transposed)'!K$4*($B$9/12*$B$6)+ 'Prediction Results (Transposed)'!K$5*($B$10/12*$B$7))*AC21/AC59*(1+$B$15)^($AA116-$AA$99)*1/$B$14</f>
        <v>91930981774.107178</v>
      </c>
      <c r="AD116" s="63">
        <f>('Demographic-Economic'!D$14+'Demographic-Economic'!D$15+'Demographic-Economic'!D$16)*1000*(1+'Inflation-Interest'!$B$58)*(1+'Inflation-Interest'!$B$59)*(1+'Inflation-Interest'!$B$60)* ('Prediction Results (Transposed)'!L$3*($B$8/12*$B$5)+ 'Prediction Results (Transposed)'!L$4*($B$9/12*$B$6)+ 'Prediction Results (Transposed)'!L$5*($B$10/12*$B$7))*AD21/AD59*(1+$B$15)^($AA116-$AA$99)*1/$B$14</f>
        <v>4565563558.9629202</v>
      </c>
      <c r="AE116" s="63">
        <f>('Demographic-Economic'!E$14+'Demographic-Economic'!E$15+'Demographic-Economic'!E$16)*1000*(1+'Inflation-Interest'!$B$58)*(1+'Inflation-Interest'!$B$59)*(1+'Inflation-Interest'!$B$60)* ('Prediction Results (Transposed)'!M$3*($B$8/12*$B$5)+ 'Prediction Results (Transposed)'!M$4*($B$9/12*$B$6)+ 'Prediction Results (Transposed)'!M$5*($B$10/12*$B$7))*AE21/AE59*(1+$B$15)^($AA116-$AA$99)*1/$B$14</f>
        <v>541115689.06532979</v>
      </c>
      <c r="AF116" s="63">
        <f>('Demographic-Economic'!F$14+'Demographic-Economic'!F$15+'Demographic-Economic'!F$16)*1000*(1+'Inflation-Interest'!$B$58)*(1+'Inflation-Interest'!$B$59)*(1+'Inflation-Interest'!$B$60)* ('Prediction Results (Transposed)'!N$3*($B$8/12*$B$5)+ 'Prediction Results (Transposed)'!N$4*($B$9/12*$B$6)+ 'Prediction Results (Transposed)'!N$5*($B$10/12*$B$7))*AF21/AF59*(1+$B$15)^($AA116-$AA$99)*1/$B$14</f>
        <v>1658433569.6759541</v>
      </c>
      <c r="AG116" s="63">
        <f>('Demographic-Economic'!G$14+'Demographic-Economic'!G$15+'Demographic-Economic'!G$16)*1000*(1+'Inflation-Interest'!$B$58)*(1+'Inflation-Interest'!$B$59)*(1+'Inflation-Interest'!$B$60)* ('Prediction Results (Transposed)'!O$3*($B$8/12*$B$5)+ 'Prediction Results (Transposed)'!O$4*($B$9/12*$B$6)+ 'Prediction Results (Transposed)'!O$5*($B$10/12*$B$7))*AG21/AG59*(1+$B$15)^($AA116-$AA$99)*1/$B$14</f>
        <v>413294914.72178704</v>
      </c>
    </row>
    <row r="117" spans="1:33">
      <c r="A117" s="205"/>
      <c r="B117" s="205"/>
      <c r="C117" s="210" t="s">
        <v>88</v>
      </c>
      <c r="D117" s="264" t="s">
        <v>249</v>
      </c>
      <c r="E117" s="264"/>
      <c r="F117" s="264"/>
      <c r="G117" s="264"/>
      <c r="H117" s="264"/>
      <c r="I117" s="265"/>
      <c r="K117" s="210" t="s">
        <v>88</v>
      </c>
      <c r="L117" s="264" t="s">
        <v>249</v>
      </c>
      <c r="M117" s="264"/>
      <c r="N117" s="264"/>
      <c r="O117" s="264"/>
      <c r="P117" s="264"/>
      <c r="Q117" s="265"/>
      <c r="S117" s="210" t="s">
        <v>88</v>
      </c>
      <c r="T117" s="272" t="s">
        <v>249</v>
      </c>
      <c r="U117" s="272"/>
      <c r="V117" s="272"/>
      <c r="W117" s="272"/>
      <c r="X117" s="272"/>
      <c r="Y117" s="272"/>
      <c r="AA117" s="210" t="s">
        <v>88</v>
      </c>
      <c r="AB117" s="265" t="s">
        <v>249</v>
      </c>
      <c r="AC117" s="272"/>
      <c r="AD117" s="272"/>
      <c r="AE117" s="272"/>
      <c r="AF117" s="272"/>
      <c r="AG117" s="272"/>
    </row>
    <row r="118" spans="1:33">
      <c r="A118" s="256"/>
      <c r="B118" s="257"/>
      <c r="C118" s="193">
        <v>2020</v>
      </c>
      <c r="D118" s="63">
        <f>($B$11*'Prediction Results (Transposed)'!J$3+$B$12*'Prediction Results (Transposed)'!J$4 + $B$13*'Prediction Results (Transposed)'!J$5)*D4</f>
        <v>18205944.8125</v>
      </c>
      <c r="E118" s="63">
        <f>($B$11*'Prediction Results (Transposed)'!K$3+$B$12*'Prediction Results (Transposed)'!K$4 + $B$13*'Prediction Results (Transposed)'!K$5)*E4</f>
        <v>26035304.582499996</v>
      </c>
      <c r="F118" s="63">
        <f>($B$11*'Prediction Results (Transposed)'!L$3+$B$12*'Prediction Results (Transposed)'!L$4 + $B$13*'Prediction Results (Transposed)'!L$5)*F4</f>
        <v>1196809.9924999999</v>
      </c>
      <c r="G118" s="63">
        <f>($B$11*'Prediction Results (Transposed)'!M$3+$B$12*'Prediction Results (Transposed)'!M$4 + $B$13*'Prediction Results (Transposed)'!M$5)*G4</f>
        <v>276962.38</v>
      </c>
      <c r="H118" s="63">
        <f>($B$11*'Prediction Results (Transposed)'!N$3+$B$12*'Prediction Results (Transposed)'!N$4 + $B$13*'Prediction Results (Transposed)'!N$5)*H4</f>
        <v>343966.495</v>
      </c>
      <c r="I118" s="187">
        <f>($B$11*'Prediction Results (Transposed)'!O$3+$B$12*'Prediction Results (Transposed)'!O$4 + $B$13*'Prediction Results (Transposed)'!O$5)*I4</f>
        <v>568369.1399999999</v>
      </c>
      <c r="K118" s="193">
        <v>2020</v>
      </c>
      <c r="L118" s="63">
        <f>L4*('Prediction Results (Transposed)'!J$3*$B$11 +'Prediction Results (Transposed)'!J$4*$B$12 + 'Prediction Results (Transposed)'!J$5*$B$13)</f>
        <v>18205944.8125</v>
      </c>
      <c r="M118" s="63">
        <f>M4*('Prediction Results (Transposed)'!K$3*$B$11 +'Prediction Results (Transposed)'!K$4*$B$12 + 'Prediction Results (Transposed)'!K$5*$B$13)</f>
        <v>26035304.582499996</v>
      </c>
      <c r="N118" s="63">
        <f>N4*('Prediction Results (Transposed)'!L$3*$B$11 +'Prediction Results (Transposed)'!L$4*$B$12 + 'Prediction Results (Transposed)'!L$5*$B$13)</f>
        <v>1196809.9924999999</v>
      </c>
      <c r="O118" s="63">
        <f>O4*('Prediction Results (Transposed)'!M$3*$B$11 +'Prediction Results (Transposed)'!M$4*$B$12 + 'Prediction Results (Transposed)'!M$5*$B$13)</f>
        <v>276962.38</v>
      </c>
      <c r="P118" s="63">
        <f>P4*('Prediction Results (Transposed)'!N$3*$B$11 +'Prediction Results (Transposed)'!N$4*$B$12 + 'Prediction Results (Transposed)'!N$5*$B$13)</f>
        <v>343966.495</v>
      </c>
      <c r="Q118" s="187">
        <f>Q4*('Prediction Results (Transposed)'!O$3*$B$11 +'Prediction Results (Transposed)'!O$4*$B$12 + 'Prediction Results (Transposed)'!O$5*$B$13)</f>
        <v>568369.1399999999</v>
      </c>
      <c r="S118" s="193">
        <v>2020</v>
      </c>
      <c r="T118" s="63">
        <f>T4*('Prediction Results (Transposed)'!J$3*$B$11+'Prediction Results (Transposed)'!J$4*$B$12+'Prediction Results (Transposed)'!J$5*$B$13)</f>
        <v>18205944.8125</v>
      </c>
      <c r="U118" s="63">
        <f>U4*('Prediction Results (Transposed)'!K$3*$B$11+'Prediction Results (Transposed)'!K$4*$B$12+'Prediction Results (Transposed)'!K$5*$B$13)</f>
        <v>26035304.582499996</v>
      </c>
      <c r="V118" s="63">
        <f>V4*('Prediction Results (Transposed)'!L$3*$B$11+'Prediction Results (Transposed)'!L$4*$B$12+'Prediction Results (Transposed)'!L$5*$B$13)</f>
        <v>1196809.9924999999</v>
      </c>
      <c r="W118" s="63">
        <f>W4*('Prediction Results (Transposed)'!M$3*$B$11+'Prediction Results (Transposed)'!M$4*$B$12+'Prediction Results (Transposed)'!M$5*$B$13)</f>
        <v>276962.38</v>
      </c>
      <c r="X118" s="63">
        <f>X4*('Prediction Results (Transposed)'!N$3*$B$11+'Prediction Results (Transposed)'!N$4*$B$12+'Prediction Results (Transposed)'!N$5*$B$13)</f>
        <v>343966.495</v>
      </c>
      <c r="Y118" s="187">
        <f>Y4*('Prediction Results (Transposed)'!O$3*$B$11+'Prediction Results (Transposed)'!O$4*$B$12+'Prediction Results (Transposed)'!O$5*$B$13)</f>
        <v>568369.1399999999</v>
      </c>
      <c r="AA118" s="193">
        <v>2020</v>
      </c>
      <c r="AB118" s="63">
        <f>AB4*('Prediction Results (Transposed)'!J$3*$B$11+'Prediction Results (Transposed)'!J$4*$B$12+'Prediction Results (Transposed)'!J$5*$B$13)</f>
        <v>18205944.8125</v>
      </c>
      <c r="AC118" s="63">
        <f>AC4*('Prediction Results (Transposed)'!K$3*$B$11+'Prediction Results (Transposed)'!K$4*$B$12+'Prediction Results (Transposed)'!K$5*$B$13)</f>
        <v>26035304.582499996</v>
      </c>
      <c r="AD118" s="63">
        <f>AD4*('Prediction Results (Transposed)'!L$3*$B$11+'Prediction Results (Transposed)'!L$4*$B$12+'Prediction Results (Transposed)'!L$5*$B$13)</f>
        <v>1196809.9924999999</v>
      </c>
      <c r="AE118" s="63">
        <f>AE4*('Prediction Results (Transposed)'!M$3*$B$11+'Prediction Results (Transposed)'!M$4*$B$12+'Prediction Results (Transposed)'!M$5*$B$13)</f>
        <v>276962.38</v>
      </c>
      <c r="AF118" s="63">
        <f>AF4*('Prediction Results (Transposed)'!N$3*$B$11+'Prediction Results (Transposed)'!N$4*$B$12+'Prediction Results (Transposed)'!N$5*$B$13)</f>
        <v>343966.495</v>
      </c>
      <c r="AG118" s="187">
        <f>AG4*('Prediction Results (Transposed)'!O$3*$B$11+'Prediction Results (Transposed)'!O$4*$B$12+'Prediction Results (Transposed)'!O$5*$B$13)</f>
        <v>568369.1399999999</v>
      </c>
    </row>
    <row r="119" spans="1:33">
      <c r="A119" s="256"/>
      <c r="B119" s="257"/>
      <c r="C119" s="193">
        <v>2021</v>
      </c>
      <c r="D119" s="63">
        <f>($B$11*'Prediction Results (Transposed)'!J$3+$B$12*'Prediction Results (Transposed)'!J$4 + $B$13*'Prediction Results (Transposed)'!J$5)*D5</f>
        <v>19303031.654501513</v>
      </c>
      <c r="E119" s="63">
        <f>($B$11*'Prediction Results (Transposed)'!K$3+$B$12*'Prediction Results (Transposed)'!K$4 + $B$13*'Prediction Results (Transposed)'!K$5)*E5</f>
        <v>27604187.185360104</v>
      </c>
      <c r="F119" s="63">
        <f>($B$11*'Prediction Results (Transposed)'!L$3+$B$12*'Prediction Results (Transposed)'!L$4 + $B$13*'Prediction Results (Transposed)'!L$5)*F5</f>
        <v>1268929.539640788</v>
      </c>
      <c r="G119" s="63">
        <f>($B$11*'Prediction Results (Transposed)'!M$3+$B$12*'Prediction Results (Transposed)'!M$4 + $B$13*'Prediction Results (Transposed)'!M$5)*G5</f>
        <v>293652.08141109091</v>
      </c>
      <c r="H119" s="63">
        <f>($B$11*'Prediction Results (Transposed)'!N$3+$B$12*'Prediction Results (Transposed)'!N$4 + $B$13*'Prediction Results (Transposed)'!N$5)*H5</f>
        <v>364693.85189579742</v>
      </c>
      <c r="I119" s="187">
        <f>($B$11*'Prediction Results (Transposed)'!O$3+$B$12*'Prediction Results (Transposed)'!O$4 + $B$13*'Prediction Results (Transposed)'!O$5)*I5</f>
        <v>602618.95846949192</v>
      </c>
      <c r="K119" s="193">
        <v>2021</v>
      </c>
      <c r="L119" s="63">
        <f>L5*('Prediction Results (Transposed)'!J$3*$B$11 +'Prediction Results (Transposed)'!J$4*$B$12 + 'Prediction Results (Transposed)'!J$5*$B$13)</f>
        <v>19358676.58969574</v>
      </c>
      <c r="M119" s="63">
        <f>M5*('Prediction Results (Transposed)'!K$3*$B$11 +'Prediction Results (Transposed)'!K$4*$B$12 + 'Prediction Results (Transposed)'!K$5*$B$13)</f>
        <v>27683761.898519751</v>
      </c>
      <c r="N119" s="63">
        <f>N5*('Prediction Results (Transposed)'!L$3*$B$11 +'Prediction Results (Transposed)'!L$4*$B$12 + 'Prediction Results (Transposed)'!L$5*$B$13)</f>
        <v>1272587.4884678512</v>
      </c>
      <c r="O119" s="63">
        <f>O5*('Prediction Results (Transposed)'!M$3*$B$11 +'Prediction Results (Transposed)'!M$4*$B$12 + 'Prediction Results (Transposed)'!M$5*$B$13)</f>
        <v>294498.59357209434</v>
      </c>
      <c r="P119" s="63">
        <f>P5*('Prediction Results (Transposed)'!N$3*$B$11 +'Prediction Results (Transposed)'!N$4*$B$12 + 'Prediction Results (Transposed)'!N$5*$B$13)</f>
        <v>365745.15648451174</v>
      </c>
      <c r="Q119" s="187">
        <f>Q5*('Prediction Results (Transposed)'!O$3*$B$11 +'Prediction Results (Transposed)'!O$4*$B$12 + 'Prediction Results (Transposed)'!O$5*$B$13)</f>
        <v>604356.13082101871</v>
      </c>
      <c r="S119" s="193">
        <v>2021</v>
      </c>
      <c r="T119" s="63">
        <f>T5*('Prediction Results (Transposed)'!J$3*$B$11+'Prediction Results (Transposed)'!J$4*$B$12+'Prediction Results (Transposed)'!J$5*$B$13)</f>
        <v>19485820.417076577</v>
      </c>
      <c r="U119" s="63">
        <f>U5*('Prediction Results (Transposed)'!K$3*$B$11+'Prediction Results (Transposed)'!K$4*$B$12+'Prediction Results (Transposed)'!K$5*$B$13)</f>
        <v>27865583.183036234</v>
      </c>
      <c r="V119" s="63">
        <f>V5*('Prediction Results (Transposed)'!L$3*$B$11+'Prediction Results (Transposed)'!L$4*$B$12+'Prediction Results (Transposed)'!L$5*$B$13)</f>
        <v>1280945.5827420691</v>
      </c>
      <c r="W119" s="63">
        <f>W5*('Prediction Results (Transposed)'!M$3*$B$11+'Prediction Results (Transposed)'!M$4*$B$12+'Prediction Results (Transposed)'!M$5*$B$13)</f>
        <v>296432.80008520692</v>
      </c>
      <c r="X119" s="63">
        <f>X5*('Prediction Results (Transposed)'!N$3*$B$11+'Prediction Results (Transposed)'!N$4*$B$12+'Prediction Results (Transposed)'!N$5*$B$13)</f>
        <v>368147.29584698222</v>
      </c>
      <c r="Y119" s="187">
        <f>Y5*('Prediction Results (Transposed)'!O$3*$B$11+'Prediction Results (Transposed)'!O$4*$B$12+'Prediction Results (Transposed)'!O$5*$B$13)</f>
        <v>608325.4182471314</v>
      </c>
      <c r="AA119" s="193">
        <v>2021</v>
      </c>
      <c r="AB119" s="63">
        <f>AB5*('Prediction Results (Transposed)'!J$3*$B$11+'Prediction Results (Transposed)'!J$4*$B$12+'Prediction Results (Transposed)'!J$5*$B$13)</f>
        <v>19565905.163406238</v>
      </c>
      <c r="AC119" s="63">
        <f>AC5*('Prediction Results (Transposed)'!K$3*$B$11+'Prediction Results (Transposed)'!K$4*$B$12+'Prediction Results (Transposed)'!K$5*$B$13)</f>
        <v>27980107.904745456</v>
      </c>
      <c r="AD119" s="63">
        <f>AD5*('Prediction Results (Transposed)'!L$3*$B$11+'Prediction Results (Transposed)'!L$4*$B$12+'Prediction Results (Transposed)'!L$5*$B$13)</f>
        <v>1286210.1392175099</v>
      </c>
      <c r="AE119" s="63">
        <f>AE5*('Prediction Results (Transposed)'!M$3*$B$11+'Prediction Results (Transposed)'!M$4*$B$12+'Prediction Results (Transposed)'!M$5*$B$13)</f>
        <v>297651.10883949522</v>
      </c>
      <c r="AF119" s="63">
        <f>AF5*('Prediction Results (Transposed)'!N$3*$B$11+'Prediction Results (Transposed)'!N$4*$B$12+'Prediction Results (Transposed)'!N$5*$B$13)</f>
        <v>369660.3439080235</v>
      </c>
      <c r="AG119" s="187">
        <f>AG5*('Prediction Results (Transposed)'!O$3*$B$11+'Prediction Results (Transposed)'!O$4*$B$12+'Prediction Results (Transposed)'!O$5*$B$13)</f>
        <v>610825.57404059812</v>
      </c>
    </row>
    <row r="120" spans="1:33">
      <c r="A120" s="256"/>
      <c r="B120" s="257"/>
      <c r="C120" s="193">
        <v>2022</v>
      </c>
      <c r="D120" s="63">
        <f>($B$11*'Prediction Results (Transposed)'!J$3+$B$12*'Prediction Results (Transposed)'!J$4 + $B$13*'Prediction Results (Transposed)'!J$5)*D6</f>
        <v>20461478.778341543</v>
      </c>
      <c r="E120" s="63">
        <f>($B$11*'Prediction Results (Transposed)'!K$3+$B$12*'Prediction Results (Transposed)'!K$4 + $B$13*'Prediction Results (Transposed)'!K$5)*E6</f>
        <v>29260817.699322131</v>
      </c>
      <c r="F120" s="63">
        <f>($B$11*'Prediction Results (Transposed)'!L$3+$B$12*'Prediction Results (Transposed)'!L$4 + $B$13*'Prediction Results (Transposed)'!L$5)*F6</f>
        <v>1345082.74717126</v>
      </c>
      <c r="G120" s="63">
        <f>($B$11*'Prediction Results (Transposed)'!M$3+$B$12*'Prediction Results (Transposed)'!M$4 + $B$13*'Prediction Results (Transposed)'!M$5)*G6</f>
        <v>311275.2410892747</v>
      </c>
      <c r="H120" s="63">
        <f>($B$11*'Prediction Results (Transposed)'!N$3+$B$12*'Prediction Results (Transposed)'!N$4 + $B$13*'Prediction Results (Transposed)'!N$5)*H6</f>
        <v>386580.49392035761</v>
      </c>
      <c r="I120" s="187">
        <f>($B$11*'Prediction Results (Transposed)'!O$3+$B$12*'Prediction Results (Transposed)'!O$4 + $B$13*'Prediction Results (Transposed)'!O$5)*I6</f>
        <v>638784.37599071639</v>
      </c>
      <c r="K120" s="193">
        <v>2022</v>
      </c>
      <c r="L120" s="63">
        <f>L6*('Prediction Results (Transposed)'!J$3*$B$11 +'Prediction Results (Transposed)'!J$4*$B$12 + 'Prediction Results (Transposed)'!J$5*$B$13)</f>
        <v>20578272.473709263</v>
      </c>
      <c r="M120" s="63">
        <f>M6*('Prediction Results (Transposed)'!K$3*$B$11 +'Prediction Results (Transposed)'!K$4*$B$12 + 'Prediction Results (Transposed)'!K$5*$B$13)</f>
        <v>29427837.838267438</v>
      </c>
      <c r="N120" s="63">
        <f>N6*('Prediction Results (Transposed)'!L$3*$B$11 +'Prediction Results (Transposed)'!L$4*$B$12 + 'Prediction Results (Transposed)'!L$5*$B$13)</f>
        <v>1352760.4515209466</v>
      </c>
      <c r="O120" s="63">
        <f>O6*('Prediction Results (Transposed)'!M$3*$B$11 +'Prediction Results (Transposed)'!M$4*$B$12 + 'Prediction Results (Transposed)'!M$5*$B$13)</f>
        <v>313051.99369240401</v>
      </c>
      <c r="P120" s="63">
        <f>P6*('Prediction Results (Transposed)'!N$3*$B$11 +'Prediction Results (Transposed)'!N$4*$B$12 + 'Prediction Results (Transposed)'!N$5*$B$13)</f>
        <v>388787.08734066447</v>
      </c>
      <c r="Q120" s="187">
        <f>Q6*('Prediction Results (Transposed)'!O$3*$B$11 +'Prediction Results (Transposed)'!O$4*$B$12 + 'Prediction Results (Transposed)'!O$5*$B$13)</f>
        <v>642430.54392526904</v>
      </c>
      <c r="S120" s="193">
        <v>2022</v>
      </c>
      <c r="T120" s="63">
        <f>T6*('Prediction Results (Transposed)'!J$3*$B$11+'Prediction Results (Transposed)'!J$4*$B$12+'Prediction Results (Transposed)'!J$5*$B$13)</f>
        <v>20845749.956644103</v>
      </c>
      <c r="U120" s="63">
        <f>U6*('Prediction Results (Transposed)'!K$3*$B$11+'Prediction Results (Transposed)'!K$4*$B$12+'Prediction Results (Transposed)'!K$5*$B$13)</f>
        <v>29810342.443707507</v>
      </c>
      <c r="V120" s="63">
        <f>V6*('Prediction Results (Transposed)'!L$3*$B$11+'Prediction Results (Transposed)'!L$4*$B$12+'Prediction Results (Transposed)'!L$5*$B$13)</f>
        <v>1370343.7040047932</v>
      </c>
      <c r="W120" s="63">
        <f>W6*('Prediction Results (Transposed)'!M$3*$B$11+'Prediction Results (Transposed)'!M$4*$B$12+'Prediction Results (Transposed)'!M$5*$B$13)</f>
        <v>317121.06019969011</v>
      </c>
      <c r="X120" s="63">
        <f>X6*('Prediction Results (Transposed)'!N$3*$B$11+'Prediction Results (Transposed)'!N$4*$B$12+'Prediction Results (Transposed)'!N$5*$B$13)</f>
        <v>393840.56263370998</v>
      </c>
      <c r="Y120" s="187">
        <f>Y6*('Prediction Results (Transposed)'!O$3*$B$11+'Prediction Results (Transposed)'!O$4*$B$12+'Prediction Results (Transposed)'!O$5*$B$13)</f>
        <v>650780.89039235597</v>
      </c>
      <c r="AA120" s="193">
        <v>2022</v>
      </c>
      <c r="AB120" s="63">
        <f>AB6*('Prediction Results (Transposed)'!J$3*$B$11+'Prediction Results (Transposed)'!J$4*$B$12+'Prediction Results (Transposed)'!J$5*$B$13)</f>
        <v>21014662.940509945</v>
      </c>
      <c r="AC120" s="63">
        <f>AC6*('Prediction Results (Transposed)'!K$3*$B$11+'Prediction Results (Transposed)'!K$4*$B$12+'Prediction Results (Transposed)'!K$5*$B$13)</f>
        <v>30051895.465436254</v>
      </c>
      <c r="AD120" s="63">
        <f>AD6*('Prediction Results (Transposed)'!L$3*$B$11+'Prediction Results (Transposed)'!L$4*$B$12+'Prediction Results (Transposed)'!L$5*$B$13)</f>
        <v>1381447.5906218083</v>
      </c>
      <c r="AE120" s="63">
        <f>AE6*('Prediction Results (Transposed)'!M$3*$B$11+'Prediction Results (Transposed)'!M$4*$B$12+'Prediction Results (Transposed)'!M$5*$B$13)</f>
        <v>319690.69020275731</v>
      </c>
      <c r="AF120" s="63">
        <f>AF6*('Prediction Results (Transposed)'!N$3*$B$11+'Prediction Results (Transposed)'!N$4*$B$12+'Prediction Results (Transposed)'!N$5*$B$13)</f>
        <v>397031.85029379535</v>
      </c>
      <c r="AG120" s="187">
        <f>AG6*('Prediction Results (Transposed)'!O$3*$B$11+'Prediction Results (Transposed)'!O$4*$B$12+'Prediction Results (Transposed)'!O$5*$B$13)</f>
        <v>656054.16395016375</v>
      </c>
    </row>
    <row r="121" spans="1:33">
      <c r="A121" s="256"/>
      <c r="B121" s="257"/>
      <c r="C121" s="193">
        <v>2023</v>
      </c>
      <c r="D121" s="63">
        <f>($B$11*'Prediction Results (Transposed)'!J$3+$B$12*'Prediction Results (Transposed)'!J$4 + $B$13*'Prediction Results (Transposed)'!J$5)*D7</f>
        <v>21684521.507830597</v>
      </c>
      <c r="E121" s="63">
        <f>($B$11*'Prediction Results (Transposed)'!K$3+$B$12*'Prediction Results (Transposed)'!K$4 + $B$13*'Prediction Results (Transposed)'!K$5)*E7</f>
        <v>31009822.780222807</v>
      </c>
      <c r="F121" s="63">
        <f>($B$11*'Prediction Results (Transposed)'!L$3+$B$12*'Prediction Results (Transposed)'!L$4 + $B$13*'Prediction Results (Transposed)'!L$5)*F7</f>
        <v>1425482.2966031565</v>
      </c>
      <c r="G121" s="63">
        <f>($B$11*'Prediction Results (Transposed)'!M$3+$B$12*'Prediction Results (Transposed)'!M$4 + $B$13*'Prediction Results (Transposed)'!M$5)*G7</f>
        <v>329881.07718784461</v>
      </c>
      <c r="H121" s="63">
        <f>($B$11*'Prediction Results (Transposed)'!N$3+$B$12*'Prediction Results (Transposed)'!N$4 + $B$13*'Prediction Results (Transposed)'!N$5)*H7</f>
        <v>409687.54632714874</v>
      </c>
      <c r="I121" s="187">
        <f>($B$11*'Prediction Results (Transposed)'!O$3+$B$12*'Prediction Results (Transposed)'!O$4 + $B$13*'Prediction Results (Transposed)'!O$5)*I7</f>
        <v>676966.39573767676</v>
      </c>
      <c r="K121" s="193">
        <v>2023</v>
      </c>
      <c r="L121" s="63">
        <f>L7*('Prediction Results (Transposed)'!J$3*$B$11 +'Prediction Results (Transposed)'!J$4*$B$12 + 'Prediction Results (Transposed)'!J$5*$B$13)</f>
        <v>21868352.372663245</v>
      </c>
      <c r="M121" s="63">
        <f>M7*('Prediction Results (Transposed)'!K$3*$B$11 +'Prediction Results (Transposed)'!K$4*$B$12 + 'Prediction Results (Transposed)'!K$5*$B$13)</f>
        <v>31272709.030119393</v>
      </c>
      <c r="N121" s="63">
        <f>N7*('Prediction Results (Transposed)'!L$3*$B$11 +'Prediction Results (Transposed)'!L$4*$B$12 + 'Prediction Results (Transposed)'!L$5*$B$13)</f>
        <v>1437566.8447124409</v>
      </c>
      <c r="O121" s="63">
        <f>O7*('Prediction Results (Transposed)'!M$3*$B$11 +'Prediction Results (Transposed)'!M$4*$B$12 + 'Prediction Results (Transposed)'!M$5*$B$13)</f>
        <v>332677.64909695811</v>
      </c>
      <c r="P121" s="63">
        <f>P7*('Prediction Results (Transposed)'!N$3*$B$11 +'Prediction Results (Transposed)'!N$4*$B$12 + 'Prediction Results (Transposed)'!N$5*$B$13)</f>
        <v>413160.67880670511</v>
      </c>
      <c r="Q121" s="187">
        <f>Q7*('Prediction Results (Transposed)'!O$3*$B$11 +'Prediction Results (Transposed)'!O$4*$B$12 + 'Prediction Results (Transposed)'!O$5*$B$13)</f>
        <v>682705.38877684332</v>
      </c>
      <c r="S121" s="193">
        <v>2023</v>
      </c>
      <c r="T121" s="63">
        <f>T7*('Prediction Results (Transposed)'!J$3*$B$11+'Prediction Results (Transposed)'!J$4*$B$12+'Prediction Results (Transposed)'!J$5*$B$13)</f>
        <v>22290301.235737689</v>
      </c>
      <c r="U121" s="63">
        <f>U7*('Prediction Results (Transposed)'!K$3*$B$11+'Prediction Results (Transposed)'!K$4*$B$12+'Prediction Results (Transposed)'!K$5*$B$13)</f>
        <v>31876114.526594374</v>
      </c>
      <c r="V121" s="63">
        <f>V7*('Prediction Results (Transposed)'!L$3*$B$11+'Prediction Results (Transposed)'!L$4*$B$12+'Prediction Results (Transposed)'!L$5*$B$13)</f>
        <v>1465304.631509684</v>
      </c>
      <c r="W121" s="63">
        <f>W7*('Prediction Results (Transposed)'!M$3*$B$11+'Prediction Results (Transposed)'!M$4*$B$12+'Prediction Results (Transposed)'!M$5*$B$13)</f>
        <v>339096.64918505866</v>
      </c>
      <c r="X121" s="63">
        <f>X7*('Prediction Results (Transposed)'!N$3*$B$11+'Prediction Results (Transposed)'!N$4*$B$12+'Prediction Results (Transposed)'!N$5*$B$13)</f>
        <v>421132.59528759547</v>
      </c>
      <c r="Y121" s="187">
        <f>Y7*('Prediction Results (Transposed)'!O$3*$B$11+'Prediction Results (Transposed)'!O$4*$B$12+'Prediction Results (Transposed)'!O$5*$B$13)</f>
        <v>695878.15816066228</v>
      </c>
      <c r="AA121" s="193">
        <v>2023</v>
      </c>
      <c r="AB121" s="63">
        <f>AB7*('Prediction Results (Transposed)'!J$3*$B$11+'Prediction Results (Transposed)'!J$4*$B$12+'Prediction Results (Transposed)'!J$5*$B$13)</f>
        <v>22557432.054828208</v>
      </c>
      <c r="AC121" s="63">
        <f>AC7*('Prediction Results (Transposed)'!K$3*$B$11+'Prediction Results (Transposed)'!K$4*$B$12+'Prediction Results (Transposed)'!K$5*$B$13)</f>
        <v>32258123.387437414</v>
      </c>
      <c r="AD121" s="63">
        <f>AD7*('Prediction Results (Transposed)'!L$3*$B$11+'Prediction Results (Transposed)'!L$4*$B$12+'Prediction Results (Transposed)'!L$5*$B$13)</f>
        <v>1482865.0952419888</v>
      </c>
      <c r="AE121" s="63">
        <f>AE7*('Prediction Results (Transposed)'!M$3*$B$11+'Prediction Results (Transposed)'!M$4*$B$12+'Prediction Results (Transposed)'!M$5*$B$13)</f>
        <v>343160.4419839835</v>
      </c>
      <c r="AF121" s="63">
        <f>AF7*('Prediction Results (Transposed)'!N$3*$B$11+'Prediction Results (Transposed)'!N$4*$B$12+'Prediction Results (Transposed)'!N$5*$B$13)</f>
        <v>426179.5210305517</v>
      </c>
      <c r="AG121" s="187">
        <f>AG7*('Prediction Results (Transposed)'!O$3*$B$11+'Prediction Results (Transposed)'!O$4*$B$12+'Prediction Results (Transposed)'!O$5*$B$13)</f>
        <v>704217.68217205722</v>
      </c>
    </row>
    <row r="122" spans="1:33">
      <c r="A122" s="256"/>
      <c r="B122" s="257"/>
      <c r="C122" s="193">
        <v>2024</v>
      </c>
      <c r="D122" s="63">
        <f>($B$11*'Prediction Results (Transposed)'!J$3+$B$12*'Prediction Results (Transposed)'!J$4 + $B$13*'Prediction Results (Transposed)'!J$5)*D8</f>
        <v>22975558.151804313</v>
      </c>
      <c r="E122" s="63">
        <f>($B$11*'Prediction Results (Transposed)'!K$3+$B$12*'Prediction Results (Transposed)'!K$4 + $B$13*'Prediction Results (Transposed)'!K$5)*E8</f>
        <v>32856062.159677926</v>
      </c>
      <c r="F122" s="63">
        <f>($B$11*'Prediction Results (Transposed)'!L$3+$B$12*'Prediction Results (Transposed)'!L$4 + $B$13*'Prediction Results (Transposed)'!L$5)*F8</f>
        <v>1510351.5836467238</v>
      </c>
      <c r="G122" s="63">
        <f>($B$11*'Prediction Results (Transposed)'!M$3+$B$12*'Prediction Results (Transposed)'!M$4 + $B$13*'Prediction Results (Transposed)'!M$5)*G8</f>
        <v>349521.28730957751</v>
      </c>
      <c r="H122" s="63">
        <f>($B$11*'Prediction Results (Transposed)'!N$3+$B$12*'Prediction Results (Transposed)'!N$4 + $B$13*'Prediction Results (Transposed)'!N$5)*H8</f>
        <v>434079.21365986008</v>
      </c>
      <c r="I122" s="187">
        <f>($B$11*'Prediction Results (Transposed)'!O$3+$B$12*'Prediction Results (Transposed)'!O$4 + $B$13*'Prediction Results (Transposed)'!O$5)*I8</f>
        <v>717271.10909372405</v>
      </c>
      <c r="K122" s="193">
        <v>2024</v>
      </c>
      <c r="L122" s="63">
        <f>L8*('Prediction Results (Transposed)'!J$3*$B$11 +'Prediction Results (Transposed)'!J$4*$B$12 + 'Prediction Results (Transposed)'!J$5*$B$13)</f>
        <v>23232722.166444819</v>
      </c>
      <c r="M122" s="63">
        <f>M8*('Prediction Results (Transposed)'!K$3*$B$11 +'Prediction Results (Transposed)'!K$4*$B$12 + 'Prediction Results (Transposed)'!K$5*$B$13)</f>
        <v>33223818.050282806</v>
      </c>
      <c r="N122" s="63">
        <f>N8*('Prediction Results (Transposed)'!L$3*$B$11 +'Prediction Results (Transposed)'!L$4*$B$12 + 'Prediction Results (Transposed)'!L$5*$B$13)</f>
        <v>1527256.8563805982</v>
      </c>
      <c r="O122" s="63">
        <f>O8*('Prediction Results (Transposed)'!M$3*$B$11 +'Prediction Results (Transposed)'!M$4*$B$12 + 'Prediction Results (Transposed)'!M$5*$B$13)</f>
        <v>353433.45766265295</v>
      </c>
      <c r="P122" s="63">
        <f>P8*('Prediction Results (Transposed)'!N$3*$B$11 +'Prediction Results (Transposed)'!N$4*$B$12 + 'Prediction Results (Transposed)'!N$5*$B$13)</f>
        <v>438937.83570156217</v>
      </c>
      <c r="Q122" s="187">
        <f>Q8*('Prediction Results (Transposed)'!O$3*$B$11 +'Prediction Results (Transposed)'!O$4*$B$12 + 'Prediction Results (Transposed)'!O$5*$B$13)</f>
        <v>725299.48066935455</v>
      </c>
      <c r="S122" s="193">
        <v>2024</v>
      </c>
      <c r="T122" s="63">
        <f>T8*('Prediction Results (Transposed)'!J$3*$B$11+'Prediction Results (Transposed)'!J$4*$B$12+'Prediction Results (Transposed)'!J$5*$B$13)</f>
        <v>23824285.745378178</v>
      </c>
      <c r="U122" s="63">
        <f>U8*('Prediction Results (Transposed)'!K$3*$B$11+'Prediction Results (Transposed)'!K$4*$B$12+'Prediction Results (Transposed)'!K$5*$B$13)</f>
        <v>34069780.076206848</v>
      </c>
      <c r="V122" s="63">
        <f>V8*('Prediction Results (Transposed)'!L$3*$B$11+'Prediction Results (Transposed)'!L$4*$B$12+'Prediction Results (Transposed)'!L$5*$B$13)</f>
        <v>1566144.6597743779</v>
      </c>
      <c r="W122" s="63">
        <f>W8*('Prediction Results (Transposed)'!M$3*$B$11+'Prediction Results (Transposed)'!M$4*$B$12+'Prediction Results (Transposed)'!M$5*$B$13)</f>
        <v>362432.76302307617</v>
      </c>
      <c r="X122" s="63">
        <f>X8*('Prediction Results (Transposed)'!N$3*$B$11+'Prediction Results (Transposed)'!N$4*$B$12+'Prediction Results (Transposed)'!N$5*$B$13)</f>
        <v>450114.29772596958</v>
      </c>
      <c r="Y122" s="187">
        <f>Y8*('Prediction Results (Transposed)'!O$3*$B$11+'Prediction Results (Transposed)'!O$4*$B$12+'Prediction Results (Transposed)'!O$5*$B$13)</f>
        <v>743767.43089530629</v>
      </c>
      <c r="AA122" s="193">
        <v>2024</v>
      </c>
      <c r="AB122" s="63">
        <f>AB8*('Prediction Results (Transposed)'!J$3*$B$11+'Prediction Results (Transposed)'!J$4*$B$12+'Prediction Results (Transposed)'!J$5*$B$13)</f>
        <v>24199710.139530443</v>
      </c>
      <c r="AC122" s="63">
        <f>AC8*('Prediction Results (Transposed)'!K$3*$B$11+'Prediction Results (Transposed)'!K$4*$B$12+'Prediction Results (Transposed)'!K$5*$B$13)</f>
        <v>34606653.528813578</v>
      </c>
      <c r="AD122" s="63">
        <f>AD8*('Prediction Results (Transposed)'!L$3*$B$11+'Prediction Results (Transposed)'!L$4*$B$12+'Prediction Results (Transposed)'!L$5*$B$13)</f>
        <v>1590824.0527406354</v>
      </c>
      <c r="AE122" s="63">
        <f>AE8*('Prediction Results (Transposed)'!M$3*$B$11+'Prediction Results (Transposed)'!M$4*$B$12+'Prediction Results (Transposed)'!M$5*$B$13)</f>
        <v>368143.99826987745</v>
      </c>
      <c r="AF122" s="63">
        <f>AF8*('Prediction Results (Transposed)'!N$3*$B$11+'Prediction Results (Transposed)'!N$4*$B$12+'Prediction Results (Transposed)'!N$5*$B$13)</f>
        <v>457207.22337877011</v>
      </c>
      <c r="AG122" s="187">
        <f>AG8*('Prediction Results (Transposed)'!O$3*$B$11+'Prediction Results (Transposed)'!O$4*$B$12+'Prediction Results (Transposed)'!O$5*$B$13)</f>
        <v>755487.75863643177</v>
      </c>
    </row>
    <row r="123" spans="1:33">
      <c r="A123" s="256"/>
      <c r="B123" s="257"/>
      <c r="C123" s="193">
        <v>2025</v>
      </c>
      <c r="D123" s="63">
        <f>($B$11*'Prediction Results (Transposed)'!J$3+$B$12*'Prediction Results (Transposed)'!J$4 + $B$13*'Prediction Results (Transposed)'!J$5)*D9</f>
        <v>24338157.927486591</v>
      </c>
      <c r="E123" s="63">
        <f>($B$11*'Prediction Results (Transposed)'!K$3+$B$12*'Prediction Results (Transposed)'!K$4 + $B$13*'Prediction Results (Transposed)'!K$5)*E9</f>
        <v>34804639.975841418</v>
      </c>
      <c r="F123" s="63">
        <f>($B$11*'Prediction Results (Transposed)'!L$3+$B$12*'Prediction Results (Transposed)'!L$4 + $B$13*'Prediction Results (Transposed)'!L$5)*F9</f>
        <v>1599925.2390713596</v>
      </c>
      <c r="G123" s="63">
        <f>($B$11*'Prediction Results (Transposed)'!M$3+$B$12*'Prediction Results (Transposed)'!M$4 + $B$13*'Prediction Results (Transposed)'!M$5)*G9</f>
        <v>370250.16904282972</v>
      </c>
      <c r="H123" s="63">
        <f>($B$11*'Prediction Results (Transposed)'!N$3+$B$12*'Prediction Results (Transposed)'!N$4 + $B$13*'Prediction Results (Transposed)'!N$5)*H9</f>
        <v>459822.92944918963</v>
      </c>
      <c r="I123" s="187">
        <f>($B$11*'Prediction Results (Transposed)'!O$3+$B$12*'Prediction Results (Transposed)'!O$4 + $B$13*'Prediction Results (Transposed)'!O$5)*I9</f>
        <v>759809.94301004964</v>
      </c>
      <c r="K123" s="193">
        <v>2025</v>
      </c>
      <c r="L123" s="63">
        <f>L9*('Prediction Results (Transposed)'!J$3*$B$11 +'Prediction Results (Transposed)'!J$4*$B$12 + 'Prediction Results (Transposed)'!J$5*$B$13)</f>
        <v>24675382.884072922</v>
      </c>
      <c r="M123" s="63">
        <f>M9*('Prediction Results (Transposed)'!K$3*$B$11 +'Prediction Results (Transposed)'!K$4*$B$12 + 'Prediction Results (Transposed)'!K$5*$B$13)</f>
        <v>35286886.546836048</v>
      </c>
      <c r="N123" s="63">
        <f>N9*('Prediction Results (Transposed)'!L$3*$B$11 +'Prediction Results (Transposed)'!L$4*$B$12 + 'Prediction Results (Transposed)'!L$5*$B$13)</f>
        <v>1622093.5034443128</v>
      </c>
      <c r="O123" s="63">
        <f>O9*('Prediction Results (Transposed)'!M$3*$B$11 +'Prediction Results (Transposed)'!M$4*$B$12 + 'Prediction Results (Transposed)'!M$5*$B$13)</f>
        <v>375380.28602019319</v>
      </c>
      <c r="P123" s="63">
        <f>P9*('Prediction Results (Transposed)'!N$3*$B$11 +'Prediction Results (Transposed)'!N$4*$B$12 + 'Prediction Results (Transposed)'!N$5*$B$13)</f>
        <v>466194.14981364377</v>
      </c>
      <c r="Q123" s="187">
        <f>Q9*('Prediction Results (Transposed)'!O$3*$B$11 +'Prediction Results (Transposed)'!O$4*$B$12 + 'Prediction Results (Transposed)'!O$5*$B$13)</f>
        <v>770337.72723303118</v>
      </c>
      <c r="S123" s="193">
        <v>2025</v>
      </c>
      <c r="T123" s="63">
        <f>T9*('Prediction Results (Transposed)'!J$3*$B$11+'Prediction Results (Transposed)'!J$4*$B$12+'Prediction Results (Transposed)'!J$5*$B$13)</f>
        <v>25452771.030570548</v>
      </c>
      <c r="U123" s="63">
        <f>U9*('Prediction Results (Transposed)'!K$3*$B$11+'Prediction Results (Transposed)'!K$4*$B$12+'Prediction Results (Transposed)'!K$5*$B$13)</f>
        <v>36398585.905552901</v>
      </c>
      <c r="V123" s="63">
        <f>V9*('Prediction Results (Transposed)'!L$3*$B$11+'Prediction Results (Transposed)'!L$4*$B$12+'Prediction Results (Transposed)'!L$5*$B$13)</f>
        <v>1673196.9156188143</v>
      </c>
      <c r="W123" s="63">
        <f>W9*('Prediction Results (Transposed)'!M$3*$B$11+'Prediction Results (Transposed)'!M$4*$B$12+'Prediction Results (Transposed)'!M$5*$B$13)</f>
        <v>387206.49297924881</v>
      </c>
      <c r="X123" s="63">
        <f>X9*('Prediction Results (Transposed)'!N$3*$B$11+'Prediction Results (Transposed)'!N$4*$B$12+'Prediction Results (Transposed)'!N$5*$B$13)</f>
        <v>480881.41151630162</v>
      </c>
      <c r="Y123" s="187">
        <f>Y9*('Prediction Results (Transposed)'!O$3*$B$11+'Prediction Results (Transposed)'!O$4*$B$12+'Prediction Results (Transposed)'!O$5*$B$13)</f>
        <v>794606.91165721358</v>
      </c>
      <c r="AA123" s="193">
        <v>2025</v>
      </c>
      <c r="AB123" s="63">
        <f>AB9*('Prediction Results (Transposed)'!J$3*$B$11+'Prediction Results (Transposed)'!J$4*$B$12+'Prediction Results (Transposed)'!J$5*$B$13)</f>
        <v>25947293.157223713</v>
      </c>
      <c r="AC123" s="63">
        <f>AC9*('Prediction Results (Transposed)'!K$3*$B$11+'Prediction Results (Transposed)'!K$4*$B$12+'Prediction Results (Transposed)'!K$5*$B$13)</f>
        <v>37105774.371891707</v>
      </c>
      <c r="AD123" s="63">
        <f>AD9*('Prediction Results (Transposed)'!L$3*$B$11+'Prediction Results (Transposed)'!L$4*$B$12+'Prediction Results (Transposed)'!L$5*$B$13)</f>
        <v>1705705.4741575888</v>
      </c>
      <c r="AE123" s="63">
        <f>AE9*('Prediction Results (Transposed)'!M$3*$B$11+'Prediction Results (Transposed)'!M$4*$B$12+'Prediction Results (Transposed)'!M$5*$B$13)</f>
        <v>394729.53155654273</v>
      </c>
      <c r="AF123" s="63">
        <f>AF9*('Prediction Results (Transposed)'!N$3*$B$11+'Prediction Results (Transposed)'!N$4*$B$12+'Prediction Results (Transposed)'!N$5*$B$13)</f>
        <v>490224.46096287842</v>
      </c>
      <c r="AG123" s="187">
        <f>AG9*('Prediction Results (Transposed)'!O$3*$B$11+'Prediction Results (Transposed)'!O$4*$B$12+'Prediction Results (Transposed)'!O$5*$B$13)</f>
        <v>810045.33678326639</v>
      </c>
    </row>
    <row r="124" spans="1:33">
      <c r="A124" s="256"/>
      <c r="B124" s="257"/>
      <c r="C124" s="193">
        <v>2026</v>
      </c>
      <c r="D124" s="63">
        <f>($B$11*'Prediction Results (Transposed)'!J$3+$B$12*'Prediction Results (Transposed)'!J$4 + $B$13*'Prediction Results (Transposed)'!J$5)*D10</f>
        <v>25776069.258279786</v>
      </c>
      <c r="E124" s="63">
        <f>($B$11*'Prediction Results (Transposed)'!K$3+$B$12*'Prediction Results (Transposed)'!K$4 + $B$13*'Prediction Results (Transposed)'!K$5)*E10</f>
        <v>36860916.639611445</v>
      </c>
      <c r="F124" s="63">
        <f>($B$11*'Prediction Results (Transposed)'!L$3+$B$12*'Prediction Results (Transposed)'!L$4 + $B$13*'Prediction Results (Transposed)'!L$5)*F10</f>
        <v>1694449.6741800888</v>
      </c>
      <c r="G124" s="63">
        <f>($B$11*'Prediction Results (Transposed)'!M$3+$B$12*'Prediction Results (Transposed)'!M$4 + $B$13*'Prediction Results (Transposed)'!M$5)*G10</f>
        <v>392124.74619369628</v>
      </c>
      <c r="H124" s="63">
        <f>($B$11*'Prediction Results (Transposed)'!N$3+$B$12*'Prediction Results (Transposed)'!N$4 + $B$13*'Prediction Results (Transposed)'!N$5)*H10</f>
        <v>486989.51298371382</v>
      </c>
      <c r="I124" s="187">
        <f>($B$11*'Prediction Results (Transposed)'!O$3+$B$12*'Prediction Results (Transposed)'!O$4 + $B$13*'Prediction Results (Transposed)'!O$5)*I10</f>
        <v>804699.91905337258</v>
      </c>
      <c r="K124" s="193">
        <v>2026</v>
      </c>
      <c r="L124" s="63">
        <f>L10*('Prediction Results (Transposed)'!J$3*$B$11 +'Prediction Results (Transposed)'!J$4*$B$12 + 'Prediction Results (Transposed)'!J$5*$B$13)</f>
        <v>26200540.319882065</v>
      </c>
      <c r="M124" s="63">
        <f>M10*('Prediction Results (Transposed)'!K$3*$B$11 +'Prediction Results (Transposed)'!K$4*$B$12 + 'Prediction Results (Transposed)'!K$5*$B$13)</f>
        <v>37467928.991295867</v>
      </c>
      <c r="N124" s="63">
        <f>N10*('Prediction Results (Transposed)'!L$3*$B$11 +'Prediction Results (Transposed)'!L$4*$B$12 + 'Prediction Results (Transposed)'!L$5*$B$13)</f>
        <v>1722353.2635452447</v>
      </c>
      <c r="O124" s="63">
        <f>O10*('Prediction Results (Transposed)'!M$3*$B$11 +'Prediction Results (Transposed)'!M$4*$B$12 + 'Prediction Results (Transposed)'!M$5*$B$13)</f>
        <v>398582.11584263516</v>
      </c>
      <c r="P124" s="63">
        <f>P10*('Prediction Results (Transposed)'!N$3*$B$11 +'Prediction Results (Transposed)'!N$4*$B$12 + 'Prediction Results (Transposed)'!N$5*$B$13)</f>
        <v>495009.0815802319</v>
      </c>
      <c r="Q124" s="187">
        <f>Q10*('Prediction Results (Transposed)'!O$3*$B$11 +'Prediction Results (Transposed)'!O$4*$B$12 + 'Prediction Results (Transposed)'!O$5*$B$13)</f>
        <v>817951.42864117108</v>
      </c>
      <c r="S124" s="193">
        <v>2026</v>
      </c>
      <c r="T124" s="63">
        <f>T10*('Prediction Results (Transposed)'!J$3*$B$11+'Prediction Results (Transposed)'!J$4*$B$12+'Prediction Results (Transposed)'!J$5*$B$13)</f>
        <v>27181093.662033807</v>
      </c>
      <c r="U124" s="63">
        <f>U10*('Prediction Results (Transposed)'!K$3*$B$11+'Prediction Results (Transposed)'!K$4*$B$12+'Prediction Results (Transposed)'!K$5*$B$13)</f>
        <v>38870163.546284802</v>
      </c>
      <c r="V124" s="63">
        <f>V10*('Prediction Results (Transposed)'!L$3*$B$11+'Prediction Results (Transposed)'!L$4*$B$12+'Prediction Results (Transposed)'!L$5*$B$13)</f>
        <v>1786812.2108919788</v>
      </c>
      <c r="W124" s="63">
        <f>W10*('Prediction Results (Transposed)'!M$3*$B$11+'Prediction Results (Transposed)'!M$4*$B$12+'Prediction Results (Transposed)'!M$5*$B$13)</f>
        <v>413499.02293843392</v>
      </c>
      <c r="X124" s="63">
        <f>X10*('Prediction Results (Transposed)'!N$3*$B$11+'Prediction Results (Transposed)'!N$4*$B$12+'Prediction Results (Transposed)'!N$5*$B$13)</f>
        <v>513534.76095221931</v>
      </c>
      <c r="Y124" s="187">
        <f>Y10*('Prediction Results (Transposed)'!O$3*$B$11+'Prediction Results (Transposed)'!O$4*$B$12+'Prediction Results (Transposed)'!O$5*$B$13)</f>
        <v>848563.20218781312</v>
      </c>
      <c r="AA124" s="193">
        <v>2026</v>
      </c>
      <c r="AB124" s="63">
        <f>AB10*('Prediction Results (Transposed)'!J$3*$B$11+'Prediction Results (Transposed)'!J$4*$B$12+'Prediction Results (Transposed)'!J$5*$B$13)</f>
        <v>27806290.728634242</v>
      </c>
      <c r="AC124" s="63">
        <f>AC10*('Prediction Results (Transposed)'!K$3*$B$11+'Prediction Results (Transposed)'!K$4*$B$12+'Prediction Results (Transposed)'!K$5*$B$13)</f>
        <v>39764222.943952106</v>
      </c>
      <c r="AD124" s="63">
        <f>AD10*('Prediction Results (Transposed)'!L$3*$B$11+'Prediction Results (Transposed)'!L$4*$B$12+'Prediction Results (Transposed)'!L$5*$B$13)</f>
        <v>1827910.9895763651</v>
      </c>
      <c r="AE124" s="63">
        <f>AE10*('Prediction Results (Transposed)'!M$3*$B$11+'Prediction Results (Transposed)'!M$4*$B$12+'Prediction Results (Transposed)'!M$5*$B$13)</f>
        <v>423009.98594079277</v>
      </c>
      <c r="AF124" s="63">
        <f>AF10*('Prediction Results (Transposed)'!N$3*$B$11+'Prediction Results (Transposed)'!N$4*$B$12+'Prediction Results (Transposed)'!N$5*$B$13)</f>
        <v>525346.66337736475</v>
      </c>
      <c r="AG124" s="187">
        <f>AG10*('Prediction Results (Transposed)'!O$3*$B$11+'Prediction Results (Transposed)'!O$4*$B$12+'Prediction Results (Transposed)'!O$5*$B$13)</f>
        <v>868081.15210658009</v>
      </c>
    </row>
    <row r="125" spans="1:33">
      <c r="A125" s="256"/>
      <c r="B125" s="257"/>
      <c r="C125" s="193">
        <v>2027</v>
      </c>
      <c r="D125" s="63">
        <f>($B$11*'Prediction Results (Transposed)'!J$3+$B$12*'Prediction Results (Transposed)'!J$4 + $B$13*'Prediction Results (Transposed)'!J$5)*D11</f>
        <v>27293228.463274486</v>
      </c>
      <c r="E125" s="63">
        <f>($B$11*'Prediction Results (Transposed)'!K$3+$B$12*'Prediction Results (Transposed)'!K$4 + $B$13*'Prediction Results (Transposed)'!K$5)*E11</f>
        <v>39030521.261012942</v>
      </c>
      <c r="F125" s="63">
        <f>($B$11*'Prediction Results (Transposed)'!L$3+$B$12*'Prediction Results (Transposed)'!L$4 + $B$13*'Prediction Results (Transposed)'!L$5)*F11</f>
        <v>1794183.652034638</v>
      </c>
      <c r="G125" s="63">
        <f>($B$11*'Prediction Results (Transposed)'!M$3+$B$12*'Prediction Results (Transposed)'!M$4 + $B$13*'Prediction Results (Transposed)'!M$5)*G11</f>
        <v>415204.90097729972</v>
      </c>
      <c r="H125" s="63">
        <f>($B$11*'Prediction Results (Transposed)'!N$3+$B$12*'Prediction Results (Transposed)'!N$4 + $B$13*'Prediction Results (Transposed)'!N$5)*H11</f>
        <v>515653.33348155027</v>
      </c>
      <c r="I125" s="187">
        <f>($B$11*'Prediction Results (Transposed)'!O$3+$B$12*'Prediction Results (Transposed)'!O$4 + $B$13*'Prediction Results (Transposed)'!O$5)*I11</f>
        <v>852063.92468266969</v>
      </c>
      <c r="K125" s="193">
        <v>2027</v>
      </c>
      <c r="L125" s="63">
        <f>L11*('Prediction Results (Transposed)'!J$3*$B$11 +'Prediction Results (Transposed)'!J$4*$B$12 + 'Prediction Results (Transposed)'!J$5*$B$13)</f>
        <v>27812615.108980868</v>
      </c>
      <c r="M125" s="63">
        <f>M11*('Prediction Results (Transposed)'!K$3*$B$11 +'Prediction Results (Transposed)'!K$4*$B$12 + 'Prediction Results (Transposed)'!K$5*$B$13)</f>
        <v>39773267.086967796</v>
      </c>
      <c r="N125" s="63">
        <f>N11*('Prediction Results (Transposed)'!L$3*$B$11 +'Prediction Results (Transposed)'!L$4*$B$12 + 'Prediction Results (Transposed)'!L$5*$B$13)</f>
        <v>1828326.7373814455</v>
      </c>
      <c r="O125" s="63">
        <f>O11*('Prediction Results (Transposed)'!M$3*$B$11 +'Prediction Results (Transposed)'!M$4*$B$12 + 'Prediction Results (Transposed)'!M$5*$B$13)</f>
        <v>423106.19712075999</v>
      </c>
      <c r="P125" s="63">
        <f>P11*('Prediction Results (Transposed)'!N$3*$B$11 +'Prediction Results (Transposed)'!N$4*$B$12 + 'Prediction Results (Transposed)'!N$5*$B$13)</f>
        <v>525466.15044399491</v>
      </c>
      <c r="Q125" s="187">
        <f>Q11*('Prediction Results (Transposed)'!O$3*$B$11 +'Prediction Results (Transposed)'!O$4*$B$12 + 'Prediction Results (Transposed)'!O$5*$B$13)</f>
        <v>868278.59215463395</v>
      </c>
      <c r="S125" s="193">
        <v>2027</v>
      </c>
      <c r="T125" s="63">
        <f>T11*('Prediction Results (Transposed)'!J$3*$B$11+'Prediction Results (Transposed)'!J$4*$B$12+'Prediction Results (Transposed)'!J$5*$B$13)</f>
        <v>29014872.840816289</v>
      </c>
      <c r="U125" s="63">
        <f>U11*('Prediction Results (Transposed)'!K$3*$B$11+'Prediction Results (Transposed)'!K$4*$B$12+'Prediction Results (Transposed)'!K$5*$B$13)</f>
        <v>41492548.703899302</v>
      </c>
      <c r="V125" s="63">
        <f>V11*('Prediction Results (Transposed)'!L$3*$B$11+'Prediction Results (Transposed)'!L$4*$B$12+'Prediction Results (Transposed)'!L$5*$B$13)</f>
        <v>1907359.9368028294</v>
      </c>
      <c r="W125" s="63">
        <f>W11*('Prediction Results (Transposed)'!M$3*$B$11+'Prediction Results (Transposed)'!M$4*$B$12+'Prediction Results (Transposed)'!M$5*$B$13)</f>
        <v>441395.83636837098</v>
      </c>
      <c r="X125" s="63">
        <f>X11*('Prediction Results (Transposed)'!N$3*$B$11+'Prediction Results (Transposed)'!N$4*$B$12+'Prediction Results (Transposed)'!N$5*$B$13)</f>
        <v>548180.51008668425</v>
      </c>
      <c r="Y125" s="187">
        <f>Y11*('Prediction Results (Transposed)'!O$3*$B$11+'Prediction Results (Transposed)'!O$4*$B$12+'Prediction Results (Transposed)'!O$5*$B$13)</f>
        <v>905811.72762983781</v>
      </c>
      <c r="AA125" s="193">
        <v>2027</v>
      </c>
      <c r="AB125" s="63">
        <f>AB11*('Prediction Results (Transposed)'!J$3*$B$11+'Prediction Results (Transposed)'!J$4*$B$12+'Prediction Results (Transposed)'!J$5*$B$13)</f>
        <v>29783142.217182692</v>
      </c>
      <c r="AC125" s="63">
        <f>AC11*('Prediction Results (Transposed)'!K$3*$B$11+'Prediction Results (Transposed)'!K$4*$B$12+'Prediction Results (Transposed)'!K$5*$B$13)</f>
        <v>42591207.81888099</v>
      </c>
      <c r="AD125" s="63">
        <f>AD11*('Prediction Results (Transposed)'!L$3*$B$11+'Prediction Results (Transposed)'!L$4*$B$12+'Prediction Results (Transposed)'!L$5*$B$13)</f>
        <v>1957863.9054810028</v>
      </c>
      <c r="AE125" s="63">
        <f>AE11*('Prediction Results (Transposed)'!M$3*$B$11+'Prediction Results (Transposed)'!M$4*$B$12+'Prediction Results (Transposed)'!M$5*$B$13)</f>
        <v>453083.32181067887</v>
      </c>
      <c r="AF125" s="63">
        <f>AF11*('Prediction Results (Transposed)'!N$3*$B$11+'Prediction Results (Transposed)'!N$4*$B$12+'Prediction Results (Transposed)'!N$5*$B$13)</f>
        <v>562695.49007405364</v>
      </c>
      <c r="AG125" s="187">
        <f>AG11*('Prediction Results (Transposed)'!O$3*$B$11+'Prediction Results (Transposed)'!O$4*$B$12+'Prediction Results (Transposed)'!O$5*$B$13)</f>
        <v>929796.23429679766</v>
      </c>
    </row>
    <row r="126" spans="1:33">
      <c r="A126" s="256"/>
      <c r="B126" s="257"/>
      <c r="C126" s="193">
        <v>2028</v>
      </c>
      <c r="D126" s="63">
        <f>($B$11*'Prediction Results (Transposed)'!J$3+$B$12*'Prediction Results (Transposed)'!J$4 + $B$13*'Prediction Results (Transposed)'!J$5)*D12</f>
        <v>28893768.856554788</v>
      </c>
      <c r="E126" s="63">
        <f>($B$11*'Prediction Results (Transposed)'!K$3+$B$12*'Prediction Results (Transposed)'!K$4 + $B$13*'Prediction Results (Transposed)'!K$5)*E12</f>
        <v>41319364.661605716</v>
      </c>
      <c r="F126" s="63">
        <f>($B$11*'Prediction Results (Transposed)'!L$3+$B$12*'Prediction Results (Transposed)'!L$4 + $B$13*'Prediction Results (Transposed)'!L$5)*F12</f>
        <v>1899398.8856193596</v>
      </c>
      <c r="G126" s="63">
        <f>($B$11*'Prediction Results (Transposed)'!M$3+$B$12*'Prediction Results (Transposed)'!M$4 + $B$13*'Prediction Results (Transposed)'!M$5)*G12</f>
        <v>439553.51244319236</v>
      </c>
      <c r="H126" s="63">
        <f>($B$11*'Prediction Results (Transposed)'!N$3+$B$12*'Prediction Results (Transposed)'!N$4 + $B$13*'Prediction Results (Transposed)'!N$5)*H12</f>
        <v>545892.48200432048</v>
      </c>
      <c r="I126" s="187">
        <f>($B$11*'Prediction Results (Transposed)'!O$3+$B$12*'Prediction Results (Transposed)'!O$4 + $B$13*'Prediction Results (Transposed)'!O$5)*I12</f>
        <v>902030.99731926213</v>
      </c>
      <c r="K126" s="193">
        <v>2028</v>
      </c>
      <c r="L126" s="63">
        <f>L12*('Prediction Results (Transposed)'!J$3*$B$11 +'Prediction Results (Transposed)'!J$4*$B$12 + 'Prediction Results (Transposed)'!J$5*$B$13)</f>
        <v>29516253.283377975</v>
      </c>
      <c r="M126" s="63">
        <f>M12*('Prediction Results (Transposed)'!K$3*$B$11 +'Prediction Results (Transposed)'!K$4*$B$12 + 'Prediction Results (Transposed)'!K$5*$B$13)</f>
        <v>42209544.864672005</v>
      </c>
      <c r="N126" s="63">
        <f>N12*('Prediction Results (Transposed)'!L$3*$B$11 +'Prediction Results (Transposed)'!L$4*$B$12 + 'Prediction Results (Transposed)'!L$5*$B$13)</f>
        <v>1940319.3426387685</v>
      </c>
      <c r="O126" s="63">
        <f>O12*('Prediction Results (Transposed)'!M$3*$B$11 +'Prediction Results (Transposed)'!M$4*$B$12 + 'Prediction Results (Transposed)'!M$5*$B$13)</f>
        <v>449023.20875071484</v>
      </c>
      <c r="P126" s="63">
        <f>P12*('Prediction Results (Transposed)'!N$3*$B$11 +'Prediction Results (Transposed)'!N$4*$B$12 + 'Prediction Results (Transposed)'!N$5*$B$13)</f>
        <v>557653.13429078949</v>
      </c>
      <c r="Q126" s="187">
        <f>Q12*('Prediction Results (Transposed)'!O$3*$B$11 +'Prediction Results (Transposed)'!O$4*$B$12 + 'Prediction Results (Transposed)'!O$5*$B$13)</f>
        <v>921464.26167223218</v>
      </c>
      <c r="S126" s="193">
        <v>2028</v>
      </c>
      <c r="T126" s="63">
        <f>T12*('Prediction Results (Transposed)'!J$3*$B$11+'Prediction Results (Transposed)'!J$4*$B$12+'Prediction Results (Transposed)'!J$5*$B$13)</f>
        <v>30960024.665776286</v>
      </c>
      <c r="U126" s="63">
        <f>U12*('Prediction Results (Transposed)'!K$3*$B$11+'Prediction Results (Transposed)'!K$4*$B$12+'Prediction Results (Transposed)'!K$5*$B$13)</f>
        <v>44274201.660864681</v>
      </c>
      <c r="V126" s="63">
        <f>V12*('Prediction Results (Transposed)'!L$3*$B$11+'Prediction Results (Transposed)'!L$4*$B$12+'Prediction Results (Transposed)'!L$5*$B$13)</f>
        <v>2035229.0018262146</v>
      </c>
      <c r="W126" s="63">
        <f>W12*('Prediction Results (Transposed)'!M$3*$B$11+'Prediction Results (Transposed)'!M$4*$B$12+'Prediction Results (Transposed)'!M$5*$B$13)</f>
        <v>470986.93336721358</v>
      </c>
      <c r="X126" s="63">
        <f>X12*('Prediction Results (Transposed)'!N$3*$B$11+'Prediction Results (Transposed)'!N$4*$B$12+'Prediction Results (Transposed)'!N$5*$B$13)</f>
        <v>584930.43228874274</v>
      </c>
      <c r="Y126" s="187">
        <f>Y12*('Prediction Results (Transposed)'!O$3*$B$11+'Prediction Results (Transposed)'!O$4*$B$12+'Prediction Results (Transposed)'!O$5*$B$13)</f>
        <v>966537.1819420401</v>
      </c>
      <c r="AA126" s="193">
        <v>2028</v>
      </c>
      <c r="AB126" s="63">
        <f>AB12*('Prediction Results (Transposed)'!J$3*$B$11+'Prediction Results (Transposed)'!J$4*$B$12+'Prediction Results (Transposed)'!J$5*$B$13)</f>
        <v>31884633.605558459</v>
      </c>
      <c r="AC126" s="63">
        <f>AC12*('Prediction Results (Transposed)'!K$3*$B$11+'Prediction Results (Transposed)'!K$4*$B$12+'Prediction Results (Transposed)'!K$5*$B$13)</f>
        <v>45596433.251416534</v>
      </c>
      <c r="AD126" s="63">
        <f>AD12*('Prediction Results (Transposed)'!L$3*$B$11+'Prediction Results (Transposed)'!L$4*$B$12+'Prediction Results (Transposed)'!L$5*$B$13)</f>
        <v>2096010.3141768028</v>
      </c>
      <c r="AE126" s="63">
        <f>AE12*('Prediction Results (Transposed)'!M$3*$B$11+'Prediction Results (Transposed)'!M$4*$B$12+'Prediction Results (Transposed)'!M$5*$B$13)</f>
        <v>485052.77258449624</v>
      </c>
      <c r="AF126" s="63">
        <f>AF12*('Prediction Results (Transposed)'!N$3*$B$11+'Prediction Results (Transposed)'!N$4*$B$12+'Prediction Results (Transposed)'!N$5*$B$13)</f>
        <v>602399.14921268832</v>
      </c>
      <c r="AG126" s="187">
        <f>AG12*('Prediction Results (Transposed)'!O$3*$B$11+'Prediction Results (Transposed)'!O$4*$B$12+'Prediction Results (Transposed)'!O$5*$B$13)</f>
        <v>995402.43410843611</v>
      </c>
    </row>
    <row r="127" spans="1:33">
      <c r="A127" s="256"/>
      <c r="B127" s="257"/>
      <c r="C127" s="193">
        <v>2029</v>
      </c>
      <c r="D127" s="63">
        <f>($B$11*'Prediction Results (Transposed)'!J$3+$B$12*'Prediction Results (Transposed)'!J$4 + $B$13*'Prediction Results (Transposed)'!J$5)*D13</f>
        <v>30582030.27519368</v>
      </c>
      <c r="E127" s="63">
        <f>($B$11*'Prediction Results (Transposed)'!K$3+$B$12*'Prediction Results (Transposed)'!K$4 + $B$13*'Prediction Results (Transposed)'!K$5)*E13</f>
        <v>43733652.999938391</v>
      </c>
      <c r="F127" s="63">
        <f>($B$11*'Prediction Results (Transposed)'!L$3+$B$12*'Prediction Results (Transposed)'!L$4 + $B$13*'Prediction Results (Transposed)'!L$5)*F13</f>
        <v>2010380.6641861042</v>
      </c>
      <c r="G127" s="63">
        <f>($B$11*'Prediction Results (Transposed)'!M$3+$B$12*'Prediction Results (Transposed)'!M$4 + $B$13*'Prediction Results (Transposed)'!M$5)*G13</f>
        <v>465236.60142231337</v>
      </c>
      <c r="H127" s="63">
        <f>($B$11*'Prediction Results (Transposed)'!N$3+$B$12*'Prediction Results (Transposed)'!N$4 + $B$13*'Prediction Results (Transposed)'!N$5)*H13</f>
        <v>577788.95147039508</v>
      </c>
      <c r="I127" s="187">
        <f>($B$11*'Prediction Results (Transposed)'!O$3+$B$12*'Prediction Results (Transposed)'!O$4 + $B$13*'Prediction Results (Transposed)'!O$5)*I13</f>
        <v>954736.62180012662</v>
      </c>
      <c r="K127" s="193">
        <v>2029</v>
      </c>
      <c r="L127" s="63">
        <f>L13*('Prediction Results (Transposed)'!J$3*$B$11 +'Prediction Results (Transposed)'!J$4*$B$12 + 'Prediction Results (Transposed)'!J$5*$B$13)</f>
        <v>31316337.331144273</v>
      </c>
      <c r="M127" s="63">
        <f>M13*('Prediction Results (Transposed)'!K$3*$B$11 +'Prediction Results (Transposed)'!K$4*$B$12 + 'Prediction Results (Transposed)'!K$5*$B$13)</f>
        <v>44783744.497833446</v>
      </c>
      <c r="N127" s="63">
        <f>N13*('Prediction Results (Transposed)'!L$3*$B$11 +'Prediction Results (Transposed)'!L$4*$B$12 + 'Prediction Results (Transposed)'!L$5*$B$13)</f>
        <v>2058652.0409905396</v>
      </c>
      <c r="O127" s="63">
        <f>O13*('Prediction Results (Transposed)'!M$3*$B$11 +'Prediction Results (Transposed)'!M$4*$B$12 + 'Prediction Results (Transposed)'!M$5*$B$13)</f>
        <v>476407.42677421914</v>
      </c>
      <c r="P127" s="63">
        <f>P13*('Prediction Results (Transposed)'!N$3*$B$11 +'Prediction Results (Transposed)'!N$4*$B$12 + 'Prediction Results (Transposed)'!N$5*$B$13)</f>
        <v>591662.27839137323</v>
      </c>
      <c r="Q127" s="187">
        <f>Q13*('Prediction Results (Transposed)'!O$3*$B$11 +'Prediction Results (Transposed)'!O$4*$B$12 + 'Prediction Results (Transposed)'!O$5*$B$13)</f>
        <v>977660.86298534775</v>
      </c>
      <c r="S127" s="193">
        <v>2029</v>
      </c>
      <c r="T127" s="63">
        <f>T13*('Prediction Results (Transposed)'!J$3*$B$11+'Prediction Results (Transposed)'!J$4*$B$12+'Prediction Results (Transposed)'!J$5*$B$13)</f>
        <v>33022777.095295593</v>
      </c>
      <c r="U127" s="63">
        <f>U13*('Prediction Results (Transposed)'!K$3*$B$11+'Prediction Results (Transposed)'!K$4*$B$12+'Prediction Results (Transposed)'!K$5*$B$13)</f>
        <v>47224028.672531448</v>
      </c>
      <c r="V127" s="63">
        <f>V13*('Prediction Results (Transposed)'!L$3*$B$11+'Prediction Results (Transposed)'!L$4*$B$12+'Prediction Results (Transposed)'!L$5*$B$13)</f>
        <v>2170828.8152458048</v>
      </c>
      <c r="W127" s="63">
        <f>W13*('Prediction Results (Transposed)'!M$3*$B$11+'Prediction Results (Transposed)'!M$4*$B$12+'Prediction Results (Transposed)'!M$5*$B$13)</f>
        <v>502367.05827225005</v>
      </c>
      <c r="X127" s="63">
        <f>X13*('Prediction Results (Transposed)'!N$3*$B$11+'Prediction Results (Transposed)'!N$4*$B$12+'Prediction Results (Transposed)'!N$5*$B$13)</f>
        <v>623902.19291647687</v>
      </c>
      <c r="Y127" s="187">
        <f>Y13*('Prediction Results (Transposed)'!O$3*$B$11+'Prediction Results (Transposed)'!O$4*$B$12+'Prediction Results (Transposed)'!O$5*$B$13)</f>
        <v>1030933.9949870758</v>
      </c>
      <c r="AA127" s="193">
        <v>2029</v>
      </c>
      <c r="AB127" s="63">
        <f>AB13*('Prediction Results (Transposed)'!J$3*$B$11+'Prediction Results (Transposed)'!J$4*$B$12+'Prediction Results (Transposed)'!J$5*$B$13)</f>
        <v>34117915.202079773</v>
      </c>
      <c r="AC127" s="63">
        <f>AC13*('Prediction Results (Transposed)'!K$3*$B$11+'Prediction Results (Transposed)'!K$4*$B$12+'Prediction Results (Transposed)'!K$5*$B$13)</f>
        <v>48790124.498025343</v>
      </c>
      <c r="AD127" s="63">
        <f>AD13*('Prediction Results (Transposed)'!L$3*$B$11+'Prediction Results (Transposed)'!L$4*$B$12+'Prediction Results (Transposed)'!L$5*$B$13)</f>
        <v>2242820.2577589639</v>
      </c>
      <c r="AE127" s="63">
        <f>AE13*('Prediction Results (Transposed)'!M$3*$B$11+'Prediction Results (Transposed)'!M$4*$B$12+'Prediction Results (Transposed)'!M$5*$B$13)</f>
        <v>519027.11407311063</v>
      </c>
      <c r="AF127" s="63">
        <f>AF13*('Prediction Results (Transposed)'!N$3*$B$11+'Prediction Results (Transposed)'!N$4*$B$12+'Prediction Results (Transposed)'!N$5*$B$13)</f>
        <v>644592.73218872922</v>
      </c>
      <c r="AG127" s="187">
        <f>AG13*('Prediction Results (Transposed)'!O$3*$B$11+'Prediction Results (Transposed)'!O$4*$B$12+'Prediction Results (Transposed)'!O$5*$B$13)</f>
        <v>1065122.9761327719</v>
      </c>
    </row>
    <row r="128" spans="1:33">
      <c r="A128" s="256"/>
      <c r="B128" s="257"/>
      <c r="C128" s="193">
        <v>2030</v>
      </c>
      <c r="D128" s="63">
        <f>($B$11*'Prediction Results (Transposed)'!J$3+$B$12*'Prediction Results (Transposed)'!J$4 + $B$13*'Prediction Results (Transposed)'!J$5)*D14</f>
        <v>32362569.055688415</v>
      </c>
      <c r="E128" s="63">
        <f>($B$11*'Prediction Results (Transposed)'!K$3+$B$12*'Prediction Results (Transposed)'!K$4 + $B$13*'Prediction Results (Transposed)'!K$5)*E14</f>
        <v>46279902.038291268</v>
      </c>
      <c r="F128" s="63">
        <f>($B$11*'Prediction Results (Transposed)'!L$3+$B$12*'Prediction Results (Transposed)'!L$4 + $B$13*'Prediction Results (Transposed)'!L$5)*F14</f>
        <v>2127428.5090783271</v>
      </c>
      <c r="G128" s="63">
        <f>($B$11*'Prediction Results (Transposed)'!M$3+$B$12*'Prediction Results (Transposed)'!M$4 + $B$13*'Prediction Results (Transposed)'!M$5)*G14</f>
        <v>492323.48229594616</v>
      </c>
      <c r="H128" s="63">
        <f>($B$11*'Prediction Results (Transposed)'!N$3+$B$12*'Prediction Results (Transposed)'!N$4 + $B$13*'Prediction Results (Transposed)'!N$5)*H14</f>
        <v>611428.82514055201</v>
      </c>
      <c r="I128" s="187">
        <f>($B$11*'Prediction Results (Transposed)'!O$3+$B$12*'Prediction Results (Transposed)'!O$4 + $B$13*'Prediction Results (Transposed)'!O$5)*I14</f>
        <v>1010323.0418309955</v>
      </c>
      <c r="K128" s="193">
        <v>2030</v>
      </c>
      <c r="L128" s="63">
        <f>L14*('Prediction Results (Transposed)'!J$3*$B$11 +'Prediction Results (Transposed)'!J$4*$B$12 + 'Prediction Results (Transposed)'!J$5*$B$13)</f>
        <v>33217997.782000478</v>
      </c>
      <c r="M128" s="63">
        <f>M14*('Prediction Results (Transposed)'!K$3*$B$11 +'Prediction Results (Transposed)'!K$4*$B$12 + 'Prediction Results (Transposed)'!K$5*$B$13)</f>
        <v>47503202.870383397</v>
      </c>
      <c r="N128" s="63">
        <f>N14*('Prediction Results (Transposed)'!L$3*$B$11 +'Prediction Results (Transposed)'!L$4*$B$12 + 'Prediction Results (Transposed)'!L$5*$B$13)</f>
        <v>2183662.0997030172</v>
      </c>
      <c r="O128" s="63">
        <f>O14*('Prediction Results (Transposed)'!M$3*$B$11 +'Prediction Results (Transposed)'!M$4*$B$12 + 'Prediction Results (Transposed)'!M$5*$B$13)</f>
        <v>505336.90062714374</v>
      </c>
      <c r="P128" s="63">
        <f>P14*('Prediction Results (Transposed)'!N$3*$B$11 +'Prediction Results (Transposed)'!N$4*$B$12 + 'Prediction Results (Transposed)'!N$5*$B$13)</f>
        <v>627590.51428891497</v>
      </c>
      <c r="Q128" s="187">
        <f>Q14*('Prediction Results (Transposed)'!O$3*$B$11 +'Prediction Results (Transposed)'!O$4*$B$12 + 'Prediction Results (Transposed)'!O$5*$B$13)</f>
        <v>1037028.5654669598</v>
      </c>
      <c r="S128" s="193">
        <v>2030</v>
      </c>
      <c r="T128" s="63">
        <f>T14*('Prediction Results (Transposed)'!J$3*$B$11+'Prediction Results (Transposed)'!J$4*$B$12+'Prediction Results (Transposed)'!J$5*$B$13)</f>
        <v>35209685.636042811</v>
      </c>
      <c r="U128" s="63">
        <f>U14*('Prediction Results (Transposed)'!K$3*$B$11+'Prediction Results (Transposed)'!K$4*$B$12+'Prediction Results (Transposed)'!K$5*$B$13)</f>
        <v>50351404.402756244</v>
      </c>
      <c r="V128" s="63">
        <f>V14*('Prediction Results (Transposed)'!L$3*$B$11+'Prediction Results (Transposed)'!L$4*$B$12+'Prediction Results (Transposed)'!L$5*$B$13)</f>
        <v>2314590.3184913192</v>
      </c>
      <c r="W128" s="63">
        <f>W14*('Prediction Results (Transposed)'!M$3*$B$11+'Prediction Results (Transposed)'!M$4*$B$12+'Prediction Results (Transposed)'!M$5*$B$13)</f>
        <v>535635.93832904415</v>
      </c>
      <c r="X128" s="63">
        <f>X14*('Prediction Results (Transposed)'!N$3*$B$11+'Prediction Results (Transposed)'!N$4*$B$12+'Prediction Results (Transposed)'!N$5*$B$13)</f>
        <v>665219.64572617214</v>
      </c>
      <c r="Y128" s="187">
        <f>Y14*('Prediction Results (Transposed)'!O$3*$B$11+'Prediction Results (Transposed)'!O$4*$B$12+'Prediction Results (Transposed)'!O$5*$B$13)</f>
        <v>1099206.8223170664</v>
      </c>
      <c r="AA128" s="193">
        <v>2030</v>
      </c>
      <c r="AB128" s="63">
        <f>AB14*('Prediction Results (Transposed)'!J$3*$B$11+'Prediction Results (Transposed)'!J$4*$B$12+'Prediction Results (Transposed)'!J$5*$B$13)</f>
        <v>36490520.216384657</v>
      </c>
      <c r="AC128" s="63">
        <f>AC14*('Prediction Results (Transposed)'!K$3*$B$11+'Prediction Results (Transposed)'!K$4*$B$12+'Prediction Results (Transposed)'!K$5*$B$13)</f>
        <v>52183054.380960226</v>
      </c>
      <c r="AD128" s="63">
        <f>AD14*('Prediction Results (Transposed)'!L$3*$B$11+'Prediction Results (Transposed)'!L$4*$B$12+'Prediction Results (Transposed)'!L$5*$B$13)</f>
        <v>2398788.9492286914</v>
      </c>
      <c r="AE128" s="63">
        <f>AE14*('Prediction Results (Transposed)'!M$3*$B$11+'Prediction Results (Transposed)'!M$4*$B$12+'Prediction Results (Transposed)'!M$5*$B$13)</f>
        <v>555120.94706719101</v>
      </c>
      <c r="AF128" s="63">
        <f>AF14*('Prediction Results (Transposed)'!N$3*$B$11+'Prediction Results (Transposed)'!N$4*$B$12+'Prediction Results (Transposed)'!N$5*$B$13)</f>
        <v>689418.56458549411</v>
      </c>
      <c r="AG128" s="187">
        <f>AG14*('Prediction Results (Transposed)'!O$3*$B$11+'Prediction Results (Transposed)'!O$4*$B$12+'Prediction Results (Transposed)'!O$5*$B$13)</f>
        <v>1139193.0387100398</v>
      </c>
    </row>
    <row r="129" spans="1:33">
      <c r="A129" s="256"/>
      <c r="B129" s="257"/>
      <c r="C129" s="193">
        <v>2040</v>
      </c>
      <c r="D129" s="63">
        <f>($B$11*'Prediction Results (Transposed)'!J$3+$B$12*'Prediction Results (Transposed)'!J$4 + $B$13*'Prediction Results (Transposed)'!J$5)*D15</f>
        <v>53908825.981334142</v>
      </c>
      <c r="E129" s="63">
        <f>($B$11*'Prediction Results (Transposed)'!K$3+$B$12*'Prediction Results (Transposed)'!K$4 + $B$13*'Prediction Results (Transposed)'!K$5)*E15</f>
        <v>77092000.363824785</v>
      </c>
      <c r="F129" s="63">
        <f>($B$11*'Prediction Results (Transposed)'!L$3+$B$12*'Prediction Results (Transposed)'!L$4 + $B$13*'Prediction Results (Transposed)'!L$5)*F15</f>
        <v>3543821.662806896</v>
      </c>
      <c r="G129" s="63">
        <f>($B$11*'Prediction Results (Transposed)'!M$3+$B$12*'Prediction Results (Transposed)'!M$4 + $B$13*'Prediction Results (Transposed)'!M$5)*G15</f>
        <v>820101.1757733596</v>
      </c>
      <c r="H129" s="63">
        <f>($B$11*'Prediction Results (Transposed)'!N$3+$B$12*'Prediction Results (Transposed)'!N$4 + $B$13*'Prediction Results (Transposed)'!N$5)*H15</f>
        <v>1018504.1267198143</v>
      </c>
      <c r="I129" s="187">
        <f>($B$11*'Prediction Results (Transposed)'!O$3+$B$12*'Prediction Results (Transposed)'!O$4 + $B$13*'Prediction Results (Transposed)'!O$5)*I15</f>
        <v>1682972.9726733756</v>
      </c>
      <c r="K129" s="193">
        <v>2040</v>
      </c>
      <c r="L129" s="63">
        <f>L15*('Prediction Results (Transposed)'!J$3*$B$11 +'Prediction Results (Transposed)'!J$4*$B$12 + 'Prediction Results (Transposed)'!J$5*$B$13)</f>
        <v>59288299.992920935</v>
      </c>
      <c r="M129" s="63">
        <f>M15*('Prediction Results (Transposed)'!K$3*$B$11 +'Prediction Results (Transposed)'!K$4*$B$12 + 'Prediction Results (Transposed)'!K$5*$B$13)</f>
        <v>84784885.617939338</v>
      </c>
      <c r="N129" s="63">
        <f>N15*('Prediction Results (Transposed)'!L$3*$B$11 +'Prediction Results (Transposed)'!L$4*$B$12 + 'Prediction Results (Transposed)'!L$5*$B$13)</f>
        <v>3897453.8592002802</v>
      </c>
      <c r="O129" s="63">
        <f>O15*('Prediction Results (Transposed)'!M$3*$B$11 +'Prediction Results (Transposed)'!M$4*$B$12 + 'Prediction Results (Transposed)'!M$5*$B$13)</f>
        <v>901937.73744272499</v>
      </c>
      <c r="P129" s="63">
        <f>P15*('Prediction Results (Transposed)'!N$3*$B$11 +'Prediction Results (Transposed)'!N$4*$B$12 + 'Prediction Results (Transposed)'!N$5*$B$13)</f>
        <v>1120138.9959762923</v>
      </c>
      <c r="Q129" s="187">
        <f>Q15*('Prediction Results (Transposed)'!O$3*$B$11 +'Prediction Results (Transposed)'!O$4*$B$12 + 'Prediction Results (Transposed)'!O$5*$B$13)</f>
        <v>1850914.1066879455</v>
      </c>
      <c r="S129" s="193">
        <v>2040</v>
      </c>
      <c r="T129" s="63">
        <f>T15*('Prediction Results (Transposed)'!J$3*$B$11+'Prediction Results (Transposed)'!J$4*$B$12+'Prediction Results (Transposed)'!J$5*$B$13)</f>
        <v>67098445.006867096</v>
      </c>
      <c r="U129" s="63">
        <f>U15*('Prediction Results (Transposed)'!K$3*$B$11+'Prediction Results (Transposed)'!K$4*$B$12+'Prediction Results (Transposed)'!K$5*$B$13)</f>
        <v>95953737.680589333</v>
      </c>
      <c r="V129" s="63">
        <f>V15*('Prediction Results (Transposed)'!L$3*$B$11+'Prediction Results (Transposed)'!L$4*$B$12+'Prediction Results (Transposed)'!L$5*$B$13)</f>
        <v>4410871.8494134052</v>
      </c>
      <c r="W129" s="63">
        <f>W15*('Prediction Results (Transposed)'!M$3*$B$11+'Prediction Results (Transposed)'!M$4*$B$12+'Prediction Results (Transposed)'!M$5*$B$13)</f>
        <v>1020751.4751248524</v>
      </c>
      <c r="X129" s="63">
        <f>X15*('Prediction Results (Transposed)'!N$3*$B$11+'Prediction Results (Transposed)'!N$4*$B$12+'Prediction Results (Transposed)'!N$5*$B$13)</f>
        <v>1267696.7433800038</v>
      </c>
      <c r="Y129" s="187">
        <f>Y15*('Prediction Results (Transposed)'!O$3*$B$11+'Prediction Results (Transposed)'!O$4*$B$12+'Prediction Results (Transposed)'!O$5*$B$13)</f>
        <v>2094738.0581811999</v>
      </c>
      <c r="AA129" s="193">
        <v>2040</v>
      </c>
      <c r="AB129" s="63">
        <f>AB15*('Prediction Results (Transposed)'!J$3*$B$11+'Prediction Results (Transposed)'!J$4*$B$12+'Prediction Results (Transposed)'!J$5*$B$13)</f>
        <v>78250356.077790961</v>
      </c>
      <c r="AC129" s="63">
        <f>AC15*('Prediction Results (Transposed)'!K$3*$B$11+'Prediction Results (Transposed)'!K$4*$B$12+'Prediction Results (Transposed)'!K$5*$B$13)</f>
        <v>111901462.6901208</v>
      </c>
      <c r="AD129" s="63">
        <f>AD15*('Prediction Results (Transposed)'!L$3*$B$11+'Prediction Results (Transposed)'!L$4*$B$12+'Prediction Results (Transposed)'!L$5*$B$13)</f>
        <v>5143968.5792238424</v>
      </c>
      <c r="AE129" s="63">
        <f>AE15*('Prediction Results (Transposed)'!M$3*$B$11+'Prediction Results (Transposed)'!M$4*$B$12+'Prediction Results (Transposed)'!M$5*$B$13)</f>
        <v>1190402.6447598818</v>
      </c>
      <c r="AF129" s="63">
        <f>AF15*('Prediction Results (Transposed)'!N$3*$B$11+'Prediction Results (Transposed)'!N$4*$B$12+'Prediction Results (Transposed)'!N$5*$B$13)</f>
        <v>1478390.7668499479</v>
      </c>
      <c r="AG129" s="187">
        <f>AG15*('Prediction Results (Transposed)'!O$3*$B$11+'Prediction Results (Transposed)'!O$4*$B$12+'Prediction Results (Transposed)'!O$5*$B$13)</f>
        <v>2442888.1910095499</v>
      </c>
    </row>
    <row r="130" spans="1:33">
      <c r="A130" s="256"/>
      <c r="B130" s="257"/>
      <c r="C130" s="193">
        <v>2050</v>
      </c>
      <c r="D130" s="63">
        <f>($B$11*'Prediction Results (Transposed)'!J$3+$B$12*'Prediction Results (Transposed)'!J$4 + $B$13*'Prediction Results (Transposed)'!J$5)*D16</f>
        <v>83883222.81133616</v>
      </c>
      <c r="E130" s="63">
        <f>($B$11*'Prediction Results (Transposed)'!K$3+$B$12*'Prediction Results (Transposed)'!K$4 + $B$13*'Prediction Results (Transposed)'!K$5)*E16</f>
        <v>119956710.71986276</v>
      </c>
      <c r="F130" s="63">
        <f>($B$11*'Prediction Results (Transposed)'!L$3+$B$12*'Prediction Results (Transposed)'!L$4 + $B$13*'Prediction Results (Transposed)'!L$5)*F16</f>
        <v>5514258.1336829504</v>
      </c>
      <c r="G130" s="63">
        <f>($B$11*'Prediction Results (Transposed)'!M$3+$B$12*'Prediction Results (Transposed)'!M$4 + $B$13*'Prediction Results (Transposed)'!M$5)*G16</f>
        <v>1276094.0050717269</v>
      </c>
      <c r="H130" s="63">
        <f>($B$11*'Prediction Results (Transposed)'!N$3+$B$12*'Prediction Results (Transposed)'!N$4 + $B$13*'Prediction Results (Transposed)'!N$5)*H16</f>
        <v>1584813.0067882652</v>
      </c>
      <c r="I130" s="187">
        <f>($B$11*'Prediction Results (Transposed)'!O$3+$B$12*'Prediction Results (Transposed)'!O$4 + $B$13*'Prediction Results (Transposed)'!O$5)*I16</f>
        <v>2618739.9610798145</v>
      </c>
      <c r="K130" s="193">
        <v>2050</v>
      </c>
      <c r="L130" s="63">
        <f>L16*('Prediction Results (Transposed)'!J$3*$B$11 +'Prediction Results (Transposed)'!J$4*$B$12 + 'Prediction Results (Transposed)'!J$5*$B$13)</f>
        <v>101660296.41765022</v>
      </c>
      <c r="M130" s="63">
        <f>M16*('Prediction Results (Transposed)'!K$3*$B$11 +'Prediction Results (Transposed)'!K$4*$B$12 + 'Prediction Results (Transposed)'!K$5*$B$13)</f>
        <v>145378710.54972786</v>
      </c>
      <c r="N130" s="63">
        <f>N16*('Prediction Results (Transposed)'!L$3*$B$11 +'Prediction Results (Transposed)'!L$4*$B$12 + 'Prediction Results (Transposed)'!L$5*$B$13)</f>
        <v>6682875.2831119094</v>
      </c>
      <c r="O130" s="63">
        <f>O16*('Prediction Results (Transposed)'!M$3*$B$11 +'Prediction Results (Transposed)'!M$4*$B$12 + 'Prediction Results (Transposed)'!M$5*$B$13)</f>
        <v>1546532.0771491209</v>
      </c>
      <c r="P130" s="63">
        <f>P16*('Prediction Results (Transposed)'!N$3*$B$11 +'Prediction Results (Transposed)'!N$4*$B$12 + 'Prediction Results (Transposed)'!N$5*$B$13)</f>
        <v>1920676.8008783455</v>
      </c>
      <c r="Q130" s="187">
        <f>Q16*('Prediction Results (Transposed)'!O$3*$B$11 +'Prediction Results (Transposed)'!O$4*$B$12 + 'Prediction Results (Transposed)'!O$5*$B$13)</f>
        <v>3173720.2239223216</v>
      </c>
      <c r="S130" s="193">
        <v>2050</v>
      </c>
      <c r="T130" s="63">
        <f>T16*('Prediction Results (Transposed)'!J$3*$B$11+'Prediction Results (Transposed)'!J$4*$B$12+'Prediction Results (Transposed)'!J$5*$B$13)</f>
        <v>124353803.28279811</v>
      </c>
      <c r="U130" s="63">
        <f>U16*('Prediction Results (Transposed)'!K$3*$B$11+'Prediction Results (Transposed)'!K$4*$B$12+'Prediction Results (Transposed)'!K$5*$B$13)</f>
        <v>177831426.92144406</v>
      </c>
      <c r="V130" s="63">
        <f>V16*('Prediction Results (Transposed)'!L$3*$B$11+'Prediction Results (Transposed)'!L$4*$B$12+'Prediction Results (Transposed)'!L$5*$B$13)</f>
        <v>8174685.5714979712</v>
      </c>
      <c r="W130" s="63">
        <f>W16*('Prediction Results (Transposed)'!M$3*$B$11+'Prediction Results (Transposed)'!M$4*$B$12+'Prediction Results (Transposed)'!M$5*$B$13)</f>
        <v>1891762.5904044569</v>
      </c>
      <c r="X130" s="63">
        <f>X16*('Prediction Results (Transposed)'!N$3*$B$11+'Prediction Results (Transposed)'!N$4*$B$12+'Prediction Results (Transposed)'!N$5*$B$13)</f>
        <v>2349427.1951069371</v>
      </c>
      <c r="Y130" s="187">
        <f>Y16*('Prediction Results (Transposed)'!O$3*$B$11+'Prediction Results (Transposed)'!O$4*$B$12+'Prediction Results (Transposed)'!O$5*$B$13)</f>
        <v>3882186.0087725748</v>
      </c>
      <c r="AA130" s="193">
        <v>2050</v>
      </c>
      <c r="AB130" s="63">
        <f>AB16*('Prediction Results (Transposed)'!J$3*$B$11+'Prediction Results (Transposed)'!J$4*$B$12+'Prediction Results (Transposed)'!J$5*$B$13)</f>
        <v>178055496.88930574</v>
      </c>
      <c r="AC130" s="63">
        <f>AC16*('Prediction Results (Transposed)'!K$3*$B$11+'Prediction Results (Transposed)'!K$4*$B$12+'Prediction Results (Transposed)'!K$5*$B$13)</f>
        <v>254627218.84769285</v>
      </c>
      <c r="AD130" s="63">
        <f>AD16*('Prediction Results (Transposed)'!L$3*$B$11+'Prediction Results (Transposed)'!L$4*$B$12+'Prediction Results (Transposed)'!L$5*$B$13)</f>
        <v>11704890.907411881</v>
      </c>
      <c r="AE130" s="63">
        <f>AE16*('Prediction Results (Transposed)'!M$3*$B$11+'Prediction Results (Transposed)'!M$4*$B$12+'Prediction Results (Transposed)'!M$5*$B$13)</f>
        <v>2708712.7143594222</v>
      </c>
      <c r="AF130" s="63">
        <f>AF16*('Prediction Results (Transposed)'!N$3*$B$11+'Prediction Results (Transposed)'!N$4*$B$12+'Prediction Results (Transposed)'!N$5*$B$13)</f>
        <v>3364017.9518971005</v>
      </c>
      <c r="AG130" s="187">
        <f>AG16*('Prediction Results (Transposed)'!O$3*$B$11+'Prediction Results (Transposed)'!O$4*$B$12+'Prediction Results (Transposed)'!O$5*$B$13)</f>
        <v>5558692.5414474346</v>
      </c>
    </row>
    <row r="131" spans="1:33">
      <c r="A131" s="256"/>
      <c r="B131" s="257"/>
      <c r="C131" s="193">
        <v>2060</v>
      </c>
      <c r="D131" s="63">
        <f>($B$11*'Prediction Results (Transposed)'!J$3+$B$12*'Prediction Results (Transposed)'!J$4 + $B$13*'Prediction Results (Transposed)'!J$5)*D17</f>
        <v>123604869.00485121</v>
      </c>
      <c r="E131" s="63">
        <f>($B$11*'Prediction Results (Transposed)'!K$3+$B$12*'Prediction Results (Transposed)'!K$4 + $B$13*'Prediction Results (Transposed)'!K$5)*E17</f>
        <v>176760417.85053688</v>
      </c>
      <c r="F131" s="63">
        <f>($B$11*'Prediction Results (Transposed)'!L$3+$B$12*'Prediction Results (Transposed)'!L$4 + $B$13*'Prediction Results (Transposed)'!L$5)*F17</f>
        <v>8125452.640342582</v>
      </c>
      <c r="G131" s="63">
        <f>($B$11*'Prediction Results (Transposed)'!M$3+$B$12*'Prediction Results (Transposed)'!M$4 + $B$13*'Prediction Results (Transposed)'!M$5)*G17</f>
        <v>1880369.244867051</v>
      </c>
      <c r="H131" s="63">
        <f>($B$11*'Prediction Results (Transposed)'!N$3+$B$12*'Prediction Results (Transposed)'!N$4 + $B$13*'Prediction Results (Transposed)'!N$5)*H17</f>
        <v>2335277.5148116369</v>
      </c>
      <c r="I131" s="187">
        <f>($B$11*'Prediction Results (Transposed)'!O$3+$B$12*'Prediction Results (Transposed)'!O$4 + $B$13*'Prediction Results (Transposed)'!O$5)*I17</f>
        <v>3858805.1221524561</v>
      </c>
      <c r="K131" s="193">
        <v>2060</v>
      </c>
      <c r="L131" s="63">
        <f>L17*('Prediction Results (Transposed)'!J$3*$B$11 +'Prediction Results (Transposed)'!J$4*$B$12 + 'Prediction Results (Transposed)'!J$5*$B$13)</f>
        <v>165076412.40129742</v>
      </c>
      <c r="M131" s="63">
        <f>M17*('Prediction Results (Transposed)'!K$3*$B$11 +'Prediction Results (Transposed)'!K$4*$B$12 + 'Prediction Results (Transposed)'!K$5*$B$13)</f>
        <v>236066555.21131352</v>
      </c>
      <c r="N131" s="63">
        <f>N17*('Prediction Results (Transposed)'!L$3*$B$11 +'Prediction Results (Transposed)'!L$4*$B$12 + 'Prediction Results (Transposed)'!L$5*$B$13)</f>
        <v>10851680.696751188</v>
      </c>
      <c r="O131" s="63">
        <f>O17*('Prediction Results (Transposed)'!M$3*$B$11 +'Prediction Results (Transposed)'!M$4*$B$12 + 'Prediction Results (Transposed)'!M$5*$B$13)</f>
        <v>2511265.2230569236</v>
      </c>
      <c r="P131" s="63">
        <f>P17*('Prediction Results (Transposed)'!N$3*$B$11 +'Prediction Results (Transposed)'!N$4*$B$12 + 'Prediction Results (Transposed)'!N$5*$B$13)</f>
        <v>3118802.9825216094</v>
      </c>
      <c r="Q131" s="187">
        <f>Q17*('Prediction Results (Transposed)'!O$3*$B$11 +'Prediction Results (Transposed)'!O$4*$B$12 + 'Prediction Results (Transposed)'!O$5*$B$13)</f>
        <v>5153500.1076347325</v>
      </c>
      <c r="S131" s="193">
        <v>2060</v>
      </c>
      <c r="T131" s="63">
        <f>T17*('Prediction Results (Transposed)'!J$3*$B$11+'Prediction Results (Transposed)'!J$4*$B$12+'Prediction Results (Transposed)'!J$5*$B$13)</f>
        <v>228346448.71727791</v>
      </c>
      <c r="U131" s="63">
        <f>U17*('Prediction Results (Transposed)'!K$3*$B$11+'Prediction Results (Transposed)'!K$4*$B$12+'Prediction Results (Transposed)'!K$5*$B$13)</f>
        <v>326545499.50106007</v>
      </c>
      <c r="V131" s="63">
        <f>V17*('Prediction Results (Transposed)'!L$3*$B$11+'Prediction Results (Transposed)'!L$4*$B$12+'Prediction Results (Transposed)'!L$5*$B$13)</f>
        <v>15010883.224752555</v>
      </c>
      <c r="W131" s="63">
        <f>W17*('Prediction Results (Transposed)'!M$3*$B$11+'Prediction Results (Transposed)'!M$4*$B$12+'Prediction Results (Transposed)'!M$5*$B$13)</f>
        <v>3473776.09635854</v>
      </c>
      <c r="X131" s="63">
        <f>X17*('Prediction Results (Transposed)'!N$3*$B$11+'Prediction Results (Transposed)'!N$4*$B$12+'Prediction Results (Transposed)'!N$5*$B$13)</f>
        <v>4314169.2683288939</v>
      </c>
      <c r="Y131" s="187">
        <f>Y17*('Prediction Results (Transposed)'!O$3*$B$11+'Prediction Results (Transposed)'!O$4*$B$12+'Prediction Results (Transposed)'!O$5*$B$13)</f>
        <v>7128719.548264496</v>
      </c>
      <c r="AA131" s="193">
        <v>2060</v>
      </c>
      <c r="AB131" s="63">
        <f>AB17*('Prediction Results (Transposed)'!J$3*$B$11+'Prediction Results (Transposed)'!J$4*$B$12+'Prediction Results (Transposed)'!J$5*$B$13)</f>
        <v>428609256.03286391</v>
      </c>
      <c r="AC131" s="63">
        <f>AC17*('Prediction Results (Transposed)'!K$3*$B$11+'Prediction Results (Transposed)'!K$4*$B$12+'Prediction Results (Transposed)'!K$5*$B$13)</f>
        <v>612930152.35510921</v>
      </c>
      <c r="AD131" s="63">
        <f>AD17*('Prediction Results (Transposed)'!L$3*$B$11+'Prediction Results (Transposed)'!L$4*$B$12+'Prediction Results (Transposed)'!L$5*$B$13)</f>
        <v>28175623.170401301</v>
      </c>
      <c r="AE131" s="63">
        <f>AE17*('Prediction Results (Transposed)'!M$3*$B$11+'Prediction Results (Transposed)'!M$4*$B$12+'Prediction Results (Transposed)'!M$5*$B$13)</f>
        <v>6520322.9419539552</v>
      </c>
      <c r="AF131" s="63">
        <f>AF17*('Prediction Results (Transposed)'!N$3*$B$11+'Prediction Results (Transposed)'!N$4*$B$12+'Prediction Results (Transposed)'!N$5*$B$13)</f>
        <v>8097751.862949728</v>
      </c>
      <c r="AG131" s="187">
        <f>AG17*('Prediction Results (Transposed)'!O$3*$B$11+'Prediction Results (Transposed)'!O$4*$B$12+'Prediction Results (Transposed)'!O$5*$B$13)</f>
        <v>13380699.368053664</v>
      </c>
    </row>
    <row r="132" spans="1:33">
      <c r="A132" s="256"/>
      <c r="B132" s="257"/>
      <c r="C132" s="193">
        <v>2070</v>
      </c>
      <c r="D132" s="63">
        <f>($B$11*'Prediction Results (Transposed)'!J$3+$B$12*'Prediction Results (Transposed)'!J$4 + $B$13*'Prediction Results (Transposed)'!J$5)*D18</f>
        <v>175216577.93823883</v>
      </c>
      <c r="E132" s="63">
        <f>($B$11*'Prediction Results (Transposed)'!K$3+$B$12*'Prediction Results (Transposed)'!K$4 + $B$13*'Prediction Results (Transposed)'!K$5)*E18</f>
        <v>250567439.45490286</v>
      </c>
      <c r="F132" s="63">
        <f>($B$11*'Prediction Results (Transposed)'!L$3+$B$12*'Prediction Results (Transposed)'!L$4 + $B$13*'Prediction Results (Transposed)'!L$5)*F18</f>
        <v>11518267.9881662</v>
      </c>
      <c r="G132" s="63">
        <f>($B$11*'Prediction Results (Transposed)'!M$3+$B$12*'Prediction Results (Transposed)'!M$4 + $B$13*'Prediction Results (Transposed)'!M$5)*G18</f>
        <v>2665524.9667631127</v>
      </c>
      <c r="H132" s="63">
        <f>($B$11*'Prediction Results (Transposed)'!N$3+$B$12*'Prediction Results (Transposed)'!N$4 + $B$13*'Prediction Results (Transposed)'!N$5)*H18</f>
        <v>3310382.0098328847</v>
      </c>
      <c r="I132" s="187">
        <f>($B$11*'Prediction Results (Transposed)'!O$3+$B$12*'Prediction Results (Transposed)'!O$4 + $B$13*'Prediction Results (Transposed)'!O$5)*I18</f>
        <v>5470064.6817364814</v>
      </c>
      <c r="K132" s="193">
        <v>2070</v>
      </c>
      <c r="L132" s="63">
        <f>L18*('Prediction Results (Transposed)'!J$3*$B$11 +'Prediction Results (Transposed)'!J$4*$B$12 + 'Prediction Results (Transposed)'!J$5*$B$13)</f>
        <v>251929206.55985564</v>
      </c>
      <c r="M132" s="63">
        <f>M18*('Prediction Results (Transposed)'!K$3*$B$11 +'Prediction Results (Transposed)'!K$4*$B$12 + 'Prediction Results (Transposed)'!K$5*$B$13)</f>
        <v>360269884.01667702</v>
      </c>
      <c r="N132" s="63">
        <f>N18*('Prediction Results (Transposed)'!L$3*$B$11 +'Prediction Results (Transposed)'!L$4*$B$12 + 'Prediction Results (Transposed)'!L$5*$B$13)</f>
        <v>16561150.487856986</v>
      </c>
      <c r="O132" s="63">
        <f>O18*('Prediction Results (Transposed)'!M$3*$B$11 +'Prediction Results (Transposed)'!M$4*$B$12 + 'Prediction Results (Transposed)'!M$5*$B$13)</f>
        <v>3832534.5571970842</v>
      </c>
      <c r="P132" s="63">
        <f>P18*('Prediction Results (Transposed)'!N$3*$B$11 +'Prediction Results (Transposed)'!N$4*$B$12 + 'Prediction Results (Transposed)'!N$5*$B$13)</f>
        <v>4759720.3584308382</v>
      </c>
      <c r="Q132" s="187">
        <f>Q18*('Prediction Results (Transposed)'!O$3*$B$11 +'Prediction Results (Transposed)'!O$4*$B$12 + 'Prediction Results (Transposed)'!O$5*$B$13)</f>
        <v>7864946.7494263547</v>
      </c>
      <c r="S132" s="193">
        <v>2070</v>
      </c>
      <c r="T132" s="63">
        <f>T18*('Prediction Results (Transposed)'!J$3*$B$11+'Prediction Results (Transposed)'!J$4*$B$12+'Prediction Results (Transposed)'!J$5*$B$13)</f>
        <v>410897982.89542824</v>
      </c>
      <c r="U132" s="63">
        <f>U18*('Prediction Results (Transposed)'!K$3*$B$11+'Prediction Results (Transposed)'!K$4*$B$12+'Prediction Results (Transposed)'!K$5*$B$13)</f>
        <v>587602250.09977615</v>
      </c>
      <c r="V132" s="63">
        <f>V18*('Prediction Results (Transposed)'!L$3*$B$11+'Prediction Results (Transposed)'!L$4*$B$12+'Prediction Results (Transposed)'!L$5*$B$13)</f>
        <v>27011331.567351606</v>
      </c>
      <c r="W132" s="63">
        <f>W18*('Prediction Results (Transposed)'!M$3*$B$11+'Prediction Results (Transposed)'!M$4*$B$12+'Prediction Results (Transposed)'!M$5*$B$13)</f>
        <v>6250885.8755729627</v>
      </c>
      <c r="X132" s="63">
        <f>X18*('Prediction Results (Transposed)'!N$3*$B$11+'Prediction Results (Transposed)'!N$4*$B$12+'Prediction Results (Transposed)'!N$5*$B$13)</f>
        <v>7763131.2428274127</v>
      </c>
      <c r="Y132" s="187">
        <f>Y18*('Prediction Results (Transposed)'!O$3*$B$11+'Prediction Results (Transposed)'!O$4*$B$12+'Prediction Results (Transposed)'!O$5*$B$13)</f>
        <v>12827773.321913075</v>
      </c>
      <c r="AA132" s="193">
        <v>2070</v>
      </c>
      <c r="AB132" s="63">
        <f>AB18*('Prediction Results (Transposed)'!J$3*$B$11+'Prediction Results (Transposed)'!J$4*$B$12+'Prediction Results (Transposed)'!J$5*$B$13)</f>
        <v>1077000643.447001</v>
      </c>
      <c r="AC132" s="63">
        <f>AC18*('Prediction Results (Transposed)'!K$3*$B$11+'Prediction Results (Transposed)'!K$4*$B$12+'Prediction Results (Transposed)'!K$5*$B$13)</f>
        <v>1540158452.4434659</v>
      </c>
      <c r="AD132" s="63">
        <f>AD18*('Prediction Results (Transposed)'!L$3*$B$11+'Prediction Results (Transposed)'!L$4*$B$12+'Prediction Results (Transposed)'!L$5*$B$13)</f>
        <v>70799134.309212625</v>
      </c>
      <c r="AE132" s="63">
        <f>AE18*('Prediction Results (Transposed)'!M$3*$B$11+'Prediction Results (Transposed)'!M$4*$B$12+'Prediction Results (Transposed)'!M$5*$B$13)</f>
        <v>16384135.212022126</v>
      </c>
      <c r="AF132" s="63">
        <f>AF18*('Prediction Results (Transposed)'!N$3*$B$11+'Prediction Results (Transposed)'!N$4*$B$12+'Prediction Results (Transposed)'!N$5*$B$13)</f>
        <v>20347866.603707451</v>
      </c>
      <c r="AG132" s="187">
        <f>AG18*('Prediction Results (Transposed)'!O$3*$B$11+'Prediction Results (Transposed)'!O$4*$B$12+'Prediction Results (Transposed)'!O$5*$B$13)</f>
        <v>33622749.920406997</v>
      </c>
    </row>
    <row r="133" spans="1:33">
      <c r="A133" s="256"/>
      <c r="B133" s="257"/>
      <c r="C133" s="193">
        <v>2080</v>
      </c>
      <c r="D133" s="63">
        <f>($B$11*'Prediction Results (Transposed)'!J$3+$B$12*'Prediction Results (Transposed)'!J$4 + $B$13*'Prediction Results (Transposed)'!J$5)*D19</f>
        <v>238704585.90290651</v>
      </c>
      <c r="E133" s="63">
        <f>($B$11*'Prediction Results (Transposed)'!K$3+$B$12*'Prediction Results (Transposed)'!K$4 + $B$13*'Prediction Results (Transposed)'!K$5)*E19</f>
        <v>341358092.82222635</v>
      </c>
      <c r="F133" s="63">
        <f>($B$11*'Prediction Results (Transposed)'!L$3+$B$12*'Prediction Results (Transposed)'!L$4 + $B$13*'Prediction Results (Transposed)'!L$5)*F19</f>
        <v>15691799.387858499</v>
      </c>
      <c r="G133" s="63">
        <f>($B$11*'Prediction Results (Transposed)'!M$3+$B$12*'Prediction Results (Transposed)'!M$4 + $B$13*'Prediction Results (Transposed)'!M$5)*G19</f>
        <v>3631351.7869828735</v>
      </c>
      <c r="H133" s="63">
        <f>($B$11*'Prediction Results (Transposed)'!N$3+$B$12*'Prediction Results (Transposed)'!N$4 + $B$13*'Prediction Results (Transposed)'!N$5)*H19</f>
        <v>4509866.4529113499</v>
      </c>
      <c r="I133" s="187">
        <f>($B$11*'Prediction Results (Transposed)'!O$3+$B$12*'Prediction Results (Transposed)'!O$4 + $B$13*'Prediction Results (Transposed)'!O$5)*I19</f>
        <v>7452088.9523151778</v>
      </c>
      <c r="K133" s="193">
        <v>2080</v>
      </c>
      <c r="L133" s="63">
        <f>L19*('Prediction Results (Transposed)'!J$3*$B$11 +'Prediction Results (Transposed)'!J$4*$B$12 + 'Prediction Results (Transposed)'!J$5*$B$13)</f>
        <v>365634039.72023553</v>
      </c>
      <c r="M133" s="63">
        <f>M19*('Prediction Results (Transposed)'!K$3*$B$11 +'Prediction Results (Transposed)'!K$4*$B$12 + 'Prediction Results (Transposed)'!K$5*$B$13)</f>
        <v>522872813.68173349</v>
      </c>
      <c r="N133" s="63">
        <f>N19*('Prediction Results (Transposed)'!L$3*$B$11 +'Prediction Results (Transposed)'!L$4*$B$12 + 'Prediction Results (Transposed)'!L$5*$B$13)</f>
        <v>24035801.318856698</v>
      </c>
      <c r="O133" s="63">
        <f>O19*('Prediction Results (Transposed)'!M$3*$B$11 +'Prediction Results (Transposed)'!M$4*$B$12 + 'Prediction Results (Transposed)'!M$5*$B$13)</f>
        <v>5562297.0899264868</v>
      </c>
      <c r="P133" s="63">
        <f>P19*('Prediction Results (Transposed)'!N$3*$B$11 +'Prediction Results (Transposed)'!N$4*$B$12 + 'Prediction Results (Transposed)'!N$5*$B$13)</f>
        <v>6907955.6370461341</v>
      </c>
      <c r="Q133" s="187">
        <f>Q19*('Prediction Results (Transposed)'!O$3*$B$11 +'Prediction Results (Transposed)'!O$4*$B$12 + 'Prediction Results (Transposed)'!O$5*$B$13)</f>
        <v>11414683.876655089</v>
      </c>
      <c r="S133" s="193">
        <v>2080</v>
      </c>
      <c r="T133" s="63">
        <f>T19*('Prediction Results (Transposed)'!J$3*$B$11+'Prediction Results (Transposed)'!J$4*$B$12+'Prediction Results (Transposed)'!J$5*$B$13)</f>
        <v>711344165.25369751</v>
      </c>
      <c r="U133" s="63">
        <f>U19*('Prediction Results (Transposed)'!K$3*$B$11+'Prediction Results (Transposed)'!K$4*$B$12+'Prediction Results (Transposed)'!K$5*$B$13)</f>
        <v>1017253550.7549467</v>
      </c>
      <c r="V133" s="63">
        <f>V19*('Prediction Results (Transposed)'!L$3*$B$11+'Prediction Results (Transposed)'!L$4*$B$12+'Prediction Results (Transposed)'!L$5*$B$13)</f>
        <v>46761857.945305496</v>
      </c>
      <c r="W133" s="63">
        <f>W19*('Prediction Results (Transposed)'!M$3*$B$11+'Prediction Results (Transposed)'!M$4*$B$12+'Prediction Results (Transposed)'!M$5*$B$13)</f>
        <v>10821496.771346286</v>
      </c>
      <c r="X133" s="63">
        <f>X19*('Prediction Results (Transposed)'!N$3*$B$11+'Prediction Results (Transposed)'!N$4*$B$12+'Prediction Results (Transposed)'!N$5*$B$13)</f>
        <v>13439487.034642747</v>
      </c>
      <c r="Y133" s="187">
        <f>Y19*('Prediction Results (Transposed)'!O$3*$B$11+'Prediction Results (Transposed)'!O$4*$B$12+'Prediction Results (Transposed)'!O$5*$B$13)</f>
        <v>22207365.539835639</v>
      </c>
      <c r="AA133" s="193">
        <v>2080</v>
      </c>
      <c r="AB133" s="63">
        <f>AB19*('Prediction Results (Transposed)'!J$3*$B$11+'Prediction Results (Transposed)'!J$4*$B$12+'Prediction Results (Transposed)'!J$5*$B$13)</f>
        <v>2748877813.8443007</v>
      </c>
      <c r="AC133" s="63">
        <f>AC19*('Prediction Results (Transposed)'!K$3*$B$11+'Prediction Results (Transposed)'!K$4*$B$12+'Prediction Results (Transposed)'!K$5*$B$13)</f>
        <v>3931016592.6887455</v>
      </c>
      <c r="AD133" s="63">
        <f>AD19*('Prediction Results (Transposed)'!L$3*$B$11+'Prediction Results (Transposed)'!L$4*$B$12+'Prediction Results (Transposed)'!L$5*$B$13)</f>
        <v>180703856.3311263</v>
      </c>
      <c r="AE133" s="63">
        <f>AE19*('Prediction Results (Transposed)'!M$3*$B$11+'Prediction Results (Transposed)'!M$4*$B$12+'Prediction Results (Transposed)'!M$5*$B$13)</f>
        <v>41817974.814951107</v>
      </c>
      <c r="AF133" s="63">
        <f>AF19*('Prediction Results (Transposed)'!N$3*$B$11+'Prediction Results (Transposed)'!N$4*$B$12+'Prediction Results (Transposed)'!N$5*$B$13)</f>
        <v>51934787.046157688</v>
      </c>
      <c r="AG133" s="187">
        <f>AG19*('Prediction Results (Transposed)'!O$3*$B$11+'Prediction Results (Transposed)'!O$4*$B$12+'Prediction Results (Transposed)'!O$5*$B$13)</f>
        <v>85816876.581272185</v>
      </c>
    </row>
    <row r="134" spans="1:33">
      <c r="A134" s="256"/>
      <c r="B134" s="257"/>
      <c r="C134" s="193">
        <v>2090</v>
      </c>
      <c r="D134" s="63">
        <f>($B$11*'Prediction Results (Transposed)'!J$3+$B$12*'Prediction Results (Transposed)'!J$4 + $B$13*'Prediction Results (Transposed)'!J$5)*D20</f>
        <v>313463825.20378464</v>
      </c>
      <c r="E134" s="63">
        <f>($B$11*'Prediction Results (Transposed)'!K$3+$B$12*'Prediction Results (Transposed)'!K$4 + $B$13*'Prediction Results (Transposed)'!K$5)*E20</f>
        <v>448267104.44451821</v>
      </c>
      <c r="F134" s="63">
        <f>($B$11*'Prediction Results (Transposed)'!L$3+$B$12*'Prediction Results (Transposed)'!L$4 + $B$13*'Prediction Results (Transposed)'!L$5)*F20</f>
        <v>20606271.311642356</v>
      </c>
      <c r="G134" s="63">
        <f>($B$11*'Prediction Results (Transposed)'!M$3+$B$12*'Prediction Results (Transposed)'!M$4 + $B$13*'Prediction Results (Transposed)'!M$5)*G20</f>
        <v>4768644.9655024838</v>
      </c>
      <c r="H134" s="63">
        <f>($B$11*'Prediction Results (Transposed)'!N$3+$B$12*'Prediction Results (Transposed)'!N$4 + $B$13*'Prediction Results (Transposed)'!N$5)*H20</f>
        <v>5922299.247584763</v>
      </c>
      <c r="I134" s="187">
        <f>($B$11*'Prediction Results (Transposed)'!O$3+$B$12*'Prediction Results (Transposed)'!O$4 + $B$13*'Prediction Results (Transposed)'!O$5)*I20</f>
        <v>9785988.400330672</v>
      </c>
      <c r="K134" s="193">
        <v>2090</v>
      </c>
      <c r="L134" s="63">
        <f>L20*('Prediction Results (Transposed)'!J$3*$B$11 +'Prediction Results (Transposed)'!J$4*$B$12 + 'Prediction Results (Transposed)'!J$5*$B$13)</f>
        <v>511712108.9543435</v>
      </c>
      <c r="M134" s="63">
        <f>M20*('Prediction Results (Transposed)'!K$3*$B$11 +'Prediction Results (Transposed)'!K$4*$B$12 + 'Prediction Results (Transposed)'!K$5*$B$13)</f>
        <v>731770899.69165576</v>
      </c>
      <c r="N134" s="63">
        <f>N20*('Prediction Results (Transposed)'!L$3*$B$11 +'Prediction Results (Transposed)'!L$4*$B$12 + 'Prediction Results (Transposed)'!L$5*$B$13)</f>
        <v>33638581.880096912</v>
      </c>
      <c r="O134" s="63">
        <f>O20*('Prediction Results (Transposed)'!M$3*$B$11 +'Prediction Results (Transposed)'!M$4*$B$12 + 'Prediction Results (Transposed)'!M$5*$B$13)</f>
        <v>7784545.3795678588</v>
      </c>
      <c r="P134" s="63">
        <f>P20*('Prediction Results (Transposed)'!N$3*$B$11 +'Prediction Results (Transposed)'!N$4*$B$12 + 'Prediction Results (Transposed)'!N$5*$B$13)</f>
        <v>9667821.2736993395</v>
      </c>
      <c r="Q134" s="187">
        <f>Q20*('Prediction Results (Transposed)'!O$3*$B$11 +'Prediction Results (Transposed)'!O$4*$B$12 + 'Prediction Results (Transposed)'!O$5*$B$13)</f>
        <v>15975077.058032056</v>
      </c>
      <c r="S134" s="193">
        <v>2090</v>
      </c>
      <c r="T134" s="63">
        <f>T20*('Prediction Results (Transposed)'!J$3*$B$11+'Prediction Results (Transposed)'!J$4*$B$12+'Prediction Results (Transposed)'!J$5*$B$13)</f>
        <v>1196757373.3525183</v>
      </c>
      <c r="U134" s="63">
        <f>U20*('Prediction Results (Transposed)'!K$3*$B$11+'Prediction Results (Transposed)'!K$4*$B$12+'Prediction Results (Transposed)'!K$5*$B$13)</f>
        <v>1711415861.5482993</v>
      </c>
      <c r="V134" s="63">
        <f>V20*('Prediction Results (Transposed)'!L$3*$B$11+'Prediction Results (Transposed)'!L$4*$B$12+'Prediction Results (Transposed)'!L$5*$B$13)</f>
        <v>78671620.603999168</v>
      </c>
      <c r="W134" s="63">
        <f>W20*('Prediction Results (Transposed)'!M$3*$B$11+'Prediction Results (Transposed)'!M$4*$B$12+'Prediction Results (Transposed)'!M$5*$B$13)</f>
        <v>18205963.701410733</v>
      </c>
      <c r="X134" s="63">
        <f>X20*('Prediction Results (Transposed)'!N$3*$B$11+'Prediction Results (Transposed)'!N$4*$B$12+'Prediction Results (Transposed)'!N$5*$B$13)</f>
        <v>22610440.892627642</v>
      </c>
      <c r="Y134" s="187">
        <f>Y20*('Prediction Results (Transposed)'!O$3*$B$11+'Prediction Results (Transposed)'!O$4*$B$12+'Prediction Results (Transposed)'!O$5*$B$13)</f>
        <v>37361420.463826291</v>
      </c>
      <c r="AA134" s="193">
        <v>2090</v>
      </c>
      <c r="AB134" s="63">
        <f>AB20*('Prediction Results (Transposed)'!J$3*$B$11+'Prediction Results (Transposed)'!J$4*$B$12+'Prediction Results (Transposed)'!J$5*$B$13)</f>
        <v>6838535853.8923569</v>
      </c>
      <c r="AC134" s="63">
        <f>AC20*('Prediction Results (Transposed)'!K$3*$B$11+'Prediction Results (Transposed)'!K$4*$B$12+'Prediction Results (Transposed)'!K$5*$B$13)</f>
        <v>9779408082.8033504</v>
      </c>
      <c r="AD134" s="63">
        <f>AD20*('Prediction Results (Transposed)'!L$3*$B$11+'Prediction Results (Transposed)'!L$4*$B$12+'Prediction Results (Transposed)'!L$5*$B$13)</f>
        <v>449547009.41357112</v>
      </c>
      <c r="AE134" s="63">
        <f>AE20*('Prediction Results (Transposed)'!M$3*$B$11+'Prediction Results (Transposed)'!M$4*$B$12+'Prediction Results (Transposed)'!M$5*$B$13)</f>
        <v>104032896.13999867</v>
      </c>
      <c r="AF134" s="63">
        <f>AF20*('Prediction Results (Transposed)'!N$3*$B$11+'Prediction Results (Transposed)'!N$4*$B$12+'Prediction Results (Transposed)'!N$5*$B$13)</f>
        <v>129201051.24015172</v>
      </c>
      <c r="AG134" s="187">
        <f>AG20*('Prediction Results (Transposed)'!O$3*$B$11+'Prediction Results (Transposed)'!O$4*$B$12+'Prediction Results (Transposed)'!O$5*$B$13)</f>
        <v>213491405.26161116</v>
      </c>
    </row>
    <row r="135" spans="1:33">
      <c r="A135" s="256"/>
      <c r="B135" s="257"/>
      <c r="C135" s="194">
        <v>2100</v>
      </c>
      <c r="D135" s="63">
        <f>($B$11*'Prediction Results (Transposed)'!J$3+$B$12*'Prediction Results (Transposed)'!J$4 + $B$13*'Prediction Results (Transposed)'!J$5)*D21</f>
        <v>410091231.84386045</v>
      </c>
      <c r="E135" s="63">
        <f>($B$11*'Prediction Results (Transposed)'!K$3+$B$12*'Prediction Results (Transposed)'!K$4 + $B$13*'Prediction Results (Transposed)'!K$5)*E21</f>
        <v>586448560.49090743</v>
      </c>
      <c r="F135" s="63">
        <f>($B$11*'Prediction Results (Transposed)'!L$3+$B$12*'Prediction Results (Transposed)'!L$4 + $B$13*'Prediction Results (Transposed)'!L$5)*F21</f>
        <v>26958297.9165348</v>
      </c>
      <c r="G135" s="63">
        <f>($B$11*'Prediction Results (Transposed)'!M$3+$B$12*'Prediction Results (Transposed)'!M$4 + $B$13*'Prediction Results (Transposed)'!M$5)*G21</f>
        <v>6238612.9782522861</v>
      </c>
      <c r="H135" s="63">
        <f>($B$11*'Prediction Results (Transposed)'!N$3+$B$12*'Prediction Results (Transposed)'!N$4 + $B$13*'Prediction Results (Transposed)'!N$5)*H21</f>
        <v>7747889.2252115617</v>
      </c>
      <c r="I135" s="187">
        <f>($B$11*'Prediction Results (Transposed)'!O$3+$B$12*'Prediction Results (Transposed)'!O$4 + $B$13*'Prediction Results (Transposed)'!O$5)*I21</f>
        <v>12802587.460586129</v>
      </c>
      <c r="K135" s="194">
        <v>2100</v>
      </c>
      <c r="L135" s="63">
        <f>L21*('Prediction Results (Transposed)'!J$3*$B$11 +'Prediction Results (Transposed)'!J$4*$B$12 + 'Prediction Results (Transposed)'!J$5*$B$13)</f>
        <v>701721399.04627728</v>
      </c>
      <c r="M135" s="63">
        <f>M21*('Prediction Results (Transposed)'!K$3*$B$11 +'Prediction Results (Transposed)'!K$4*$B$12 + 'Prediction Results (Transposed)'!K$5*$B$13)</f>
        <v>1003492570.387459</v>
      </c>
      <c r="N135" s="63">
        <f>N21*('Prediction Results (Transposed)'!L$3*$B$11 +'Prediction Results (Transposed)'!L$4*$B$12 + 'Prediction Results (Transposed)'!L$5*$B$13)</f>
        <v>46129283.09840028</v>
      </c>
      <c r="O135" s="63">
        <f>O21*('Prediction Results (Transposed)'!M$3*$B$11 +'Prediction Results (Transposed)'!M$4*$B$12 + 'Prediction Results (Transposed)'!M$5*$B$13)</f>
        <v>10675108.091250934</v>
      </c>
      <c r="P135" s="63">
        <f>P21*('Prediction Results (Transposed)'!N$3*$B$11 +'Prediction Results (Transposed)'!N$4*$B$12 + 'Prediction Results (Transposed)'!N$5*$B$13)</f>
        <v>13257683.277756797</v>
      </c>
      <c r="Q135" s="187">
        <f>Q21*('Prediction Results (Transposed)'!O$3*$B$11 +'Prediction Results (Transposed)'!O$4*$B$12 + 'Prediction Results (Transposed)'!O$5*$B$13)</f>
        <v>21906953.591427591</v>
      </c>
      <c r="S135" s="194">
        <v>2100</v>
      </c>
      <c r="T135" s="63">
        <f>T21*('Prediction Results (Transposed)'!J$3*$B$11+'Prediction Results (Transposed)'!J$4*$B$12+'Prediction Results (Transposed)'!J$5*$B$13)</f>
        <v>1986731402.5575287</v>
      </c>
      <c r="U135" s="63">
        <f>U21*('Prediction Results (Transposed)'!K$3*$B$11+'Prediction Results (Transposed)'!K$4*$B$12+'Prediction Results (Transposed)'!K$5*$B$13)</f>
        <v>2841113588.0016928</v>
      </c>
      <c r="V135" s="63">
        <f>V21*('Prediction Results (Transposed)'!L$3*$B$11+'Prediction Results (Transposed)'!L$4*$B$12+'Prediction Results (Transposed)'!L$5*$B$13)</f>
        <v>130602394.95847863</v>
      </c>
      <c r="W135" s="63">
        <f>W21*('Prediction Results (Transposed)'!M$3*$B$11+'Prediction Results (Transposed)'!M$4*$B$12+'Prediction Results (Transposed)'!M$5*$B$13)</f>
        <v>30223636.473690499</v>
      </c>
      <c r="X135" s="63">
        <f>X21*('Prediction Results (Transposed)'!N$3*$B$11+'Prediction Results (Transposed)'!N$4*$B$12+'Prediction Results (Transposed)'!N$5*$B$13)</f>
        <v>37535488.76930318</v>
      </c>
      <c r="Y135" s="187">
        <f>Y21*('Prediction Results (Transposed)'!O$3*$B$11+'Prediction Results (Transposed)'!O$4*$B$12+'Prediction Results (Transposed)'!O$5*$B$13)</f>
        <v>62023522.004050143</v>
      </c>
      <c r="AA135" s="194">
        <v>2100</v>
      </c>
      <c r="AB135" s="63">
        <f>AB21*('Prediction Results (Transposed)'!J$3*$B$11+'Prediction Results (Transposed)'!J$4*$B$12+'Prediction Results (Transposed)'!J$5*$B$13)</f>
        <v>16108351690.869579</v>
      </c>
      <c r="AC135" s="63">
        <f>AC21*('Prediction Results (Transposed)'!K$3*$B$11+'Prediction Results (Transposed)'!K$4*$B$12+'Prediction Results (Transposed)'!K$5*$B$13)</f>
        <v>23035653843.456264</v>
      </c>
      <c r="AD135" s="63">
        <f>AD21*('Prediction Results (Transposed)'!L$3*$B$11+'Prediction Results (Transposed)'!L$4*$B$12+'Prediction Results (Transposed)'!L$5*$B$13)</f>
        <v>1058919845.4067862</v>
      </c>
      <c r="AE135" s="63">
        <f>AE21*('Prediction Results (Transposed)'!M$3*$B$11+'Prediction Results (Transposed)'!M$4*$B$12+'Prediction Results (Transposed)'!M$5*$B$13)</f>
        <v>245052232.56071335</v>
      </c>
      <c r="AF135" s="63">
        <f>AF21*('Prediction Results (Transposed)'!N$3*$B$11+'Prediction Results (Transposed)'!N$4*$B$12+'Prediction Results (Transposed)'!N$5*$B$13)</f>
        <v>304336486.15322214</v>
      </c>
      <c r="AG135" s="187">
        <f>AG21*('Prediction Results (Transposed)'!O$3*$B$11+'Prediction Results (Transposed)'!O$4*$B$12+'Prediction Results (Transposed)'!O$5*$B$13)</f>
        <v>502884639.69587719</v>
      </c>
    </row>
    <row r="136" spans="1:33">
      <c r="A136" s="205"/>
      <c r="B136" s="205"/>
      <c r="C136" s="209" t="s">
        <v>88</v>
      </c>
      <c r="D136" s="264" t="s">
        <v>250</v>
      </c>
      <c r="E136" s="264"/>
      <c r="F136" s="264"/>
      <c r="G136" s="264"/>
      <c r="H136" s="264"/>
      <c r="I136" s="265"/>
      <c r="K136" s="209" t="s">
        <v>88</v>
      </c>
      <c r="L136" s="264" t="s">
        <v>250</v>
      </c>
      <c r="M136" s="264"/>
      <c r="N136" s="264"/>
      <c r="O136" s="264"/>
      <c r="P136" s="264"/>
      <c r="Q136" s="265"/>
      <c r="S136" s="209" t="s">
        <v>88</v>
      </c>
      <c r="T136" s="264" t="s">
        <v>250</v>
      </c>
      <c r="U136" s="264"/>
      <c r="V136" s="264"/>
      <c r="W136" s="264"/>
      <c r="X136" s="264"/>
      <c r="Y136" s="265"/>
      <c r="AA136" s="209" t="s">
        <v>88</v>
      </c>
      <c r="AB136" s="265" t="s">
        <v>250</v>
      </c>
      <c r="AC136" s="272"/>
      <c r="AD136" s="272"/>
      <c r="AE136" s="272"/>
      <c r="AF136" s="272"/>
      <c r="AG136" s="272"/>
    </row>
    <row r="137" spans="1:33">
      <c r="A137" s="256"/>
      <c r="B137" s="257"/>
      <c r="C137" s="193">
        <v>2020</v>
      </c>
      <c r="D137" s="63">
        <f>'Demographic-Economic'!B29</f>
        <v>531771287</v>
      </c>
      <c r="E137" s="63">
        <f>'Demographic-Economic'!C29</f>
        <v>222153795</v>
      </c>
      <c r="F137" s="63">
        <f>'Demographic-Economic'!D29</f>
        <v>417708522</v>
      </c>
      <c r="G137" s="63">
        <f>'Demographic-Economic'!E29</f>
        <v>45815957</v>
      </c>
      <c r="H137" s="63">
        <f>'Demographic-Economic'!F29</f>
        <v>69643447</v>
      </c>
      <c r="I137" s="187">
        <f>'Demographic-Economic'!G29</f>
        <v>9845914</v>
      </c>
      <c r="K137" s="193">
        <v>2020</v>
      </c>
      <c r="L137" s="62">
        <f>'Demographic-Economic'!B29</f>
        <v>531771287</v>
      </c>
      <c r="M137" s="62">
        <f>'Demographic-Economic'!C29</f>
        <v>222153795</v>
      </c>
      <c r="N137" s="62">
        <f>'Demographic-Economic'!D29</f>
        <v>417708522</v>
      </c>
      <c r="O137" s="62">
        <f>'Demographic-Economic'!E29</f>
        <v>45815957</v>
      </c>
      <c r="P137" s="62">
        <f>'Demographic-Economic'!F29</f>
        <v>69643447</v>
      </c>
      <c r="Q137" s="196">
        <f>'Demographic-Economic'!G29</f>
        <v>9845914</v>
      </c>
      <c r="S137" s="193">
        <v>2020</v>
      </c>
      <c r="T137" s="62">
        <f>'Demographic-Economic'!B29</f>
        <v>531771287</v>
      </c>
      <c r="U137" s="62">
        <f>'Demographic-Economic'!C29</f>
        <v>222153795</v>
      </c>
      <c r="V137" s="62">
        <f>'Demographic-Economic'!D29</f>
        <v>417708522</v>
      </c>
      <c r="W137" s="62">
        <f>'Demographic-Economic'!E29</f>
        <v>45815957</v>
      </c>
      <c r="X137" s="62">
        <f>'Demographic-Economic'!F29</f>
        <v>69643447</v>
      </c>
      <c r="Y137" s="196">
        <f>'Demographic-Economic'!G29</f>
        <v>9845914</v>
      </c>
      <c r="AA137" s="193">
        <v>2020</v>
      </c>
      <c r="AB137" s="62">
        <f>'Demographic-Economic'!B29</f>
        <v>531771287</v>
      </c>
      <c r="AC137" s="62">
        <f>'Demographic-Economic'!C29</f>
        <v>222153795</v>
      </c>
      <c r="AD137" s="62">
        <f>'Demographic-Economic'!D29</f>
        <v>417708522</v>
      </c>
      <c r="AE137" s="62">
        <f>'Demographic-Economic'!E29</f>
        <v>45815957</v>
      </c>
      <c r="AF137" s="62">
        <f>'Demographic-Economic'!F29</f>
        <v>69643447</v>
      </c>
      <c r="AG137" s="196">
        <f>'Demographic-Economic'!G29</f>
        <v>9845914</v>
      </c>
    </row>
    <row r="138" spans="1:33">
      <c r="A138" s="256"/>
      <c r="B138" s="257"/>
      <c r="C138" s="193">
        <v>2021</v>
      </c>
      <c r="D138" s="63">
        <f>D$137*'Economic Projections'!$H4</f>
        <v>559989321.41034174</v>
      </c>
      <c r="E138" s="63">
        <f>E$137*'Economic Projections'!$H4</f>
        <v>233942215.29449028</v>
      </c>
      <c r="F138" s="63">
        <f>F$137*'Economic Projections'!$H4</f>
        <v>439873903.50035357</v>
      </c>
      <c r="G138" s="63">
        <f>G$137*'Economic Projections'!$H4</f>
        <v>48247145.525545083</v>
      </c>
      <c r="H138" s="63">
        <f>H$137*'Economic Projections'!$H4</f>
        <v>73339022.958956987</v>
      </c>
      <c r="I138" s="63">
        <f>I$137*'Economic Projections'!$H4</f>
        <v>10368379.85486152</v>
      </c>
      <c r="K138" s="193">
        <v>2021</v>
      </c>
      <c r="L138" s="63">
        <f>L$137*'Economic Projections'!$I4</f>
        <v>553707641.09896195</v>
      </c>
      <c r="M138" s="63">
        <f>M$137*'Economic Projections'!$I4</f>
        <v>231317968.4532918</v>
      </c>
      <c r="N138" s="63">
        <f>N$137*'Economic Projections'!$I4</f>
        <v>434939617.9104982</v>
      </c>
      <c r="O138" s="63">
        <f>O$137*'Economic Projections'!$I4</f>
        <v>47705933.162129298</v>
      </c>
      <c r="P138" s="63">
        <f>P$137*'Economic Projections'!$I4</f>
        <v>72516342.456020162</v>
      </c>
      <c r="Q138" s="187">
        <f>Q$137*'Economic Projections'!$I4</f>
        <v>10252072.552016607</v>
      </c>
      <c r="S138" s="193">
        <v>2021</v>
      </c>
      <c r="T138" s="63">
        <f>'Economic Projections'!$J4*T$137</f>
        <v>549695364.36366522</v>
      </c>
      <c r="U138" s="63">
        <f>'Economic Projections'!$J4*U$137</f>
        <v>229641792.01216632</v>
      </c>
      <c r="V138" s="63">
        <f>'Economic Projections'!$J4*V$137</f>
        <v>431787958.11628336</v>
      </c>
      <c r="W138" s="63">
        <f>'Economic Projections'!$J4*W$137</f>
        <v>47360246.392515399</v>
      </c>
      <c r="X138" s="63">
        <f>'Economic Projections'!$J4*X$137</f>
        <v>71990874.479476377</v>
      </c>
      <c r="Y138" s="187">
        <f>'Economic Projections'!$J4*Y$137</f>
        <v>10177783.975995893</v>
      </c>
      <c r="AA138" s="193">
        <v>2021</v>
      </c>
      <c r="AB138" s="63">
        <f>AB$137*'Economic Projections'!$K4</f>
        <v>565117886.84229648</v>
      </c>
      <c r="AC138" s="63">
        <f>AC$137*'Economic Projections'!$K4</f>
        <v>236084734.64720318</v>
      </c>
      <c r="AD138" s="63">
        <f>AD$137*'Economic Projections'!$K4</f>
        <v>443902412.63375866</v>
      </c>
      <c r="AE138" s="63">
        <f>AE$137*'Economic Projections'!$K4</f>
        <v>48689008.670559376</v>
      </c>
      <c r="AF138" s="63">
        <f>AF$137*'Economic Projections'!$K4</f>
        <v>74010685.727477923</v>
      </c>
      <c r="AG138" s="187">
        <f>AG$137*'Economic Projections'!$K4</f>
        <v>10463336.870068695</v>
      </c>
    </row>
    <row r="139" spans="1:33">
      <c r="A139" s="256"/>
      <c r="B139" s="257"/>
      <c r="C139" s="193">
        <v>2022</v>
      </c>
      <c r="D139" s="63">
        <f>D$137*'Economic Projections'!$H5</f>
        <v>588207355.8206836</v>
      </c>
      <c r="E139" s="63">
        <f>E$137*'Economic Projections'!$H5</f>
        <v>245730635.58898056</v>
      </c>
      <c r="F139" s="63">
        <f>F$137*'Economic Projections'!$H5</f>
        <v>462039285.00070715</v>
      </c>
      <c r="G139" s="63">
        <f>G$137*'Economic Projections'!$H5</f>
        <v>50678334.051090159</v>
      </c>
      <c r="H139" s="63">
        <f>H$137*'Economic Projections'!$H5</f>
        <v>77034598.917913973</v>
      </c>
      <c r="I139" s="63">
        <f>I$137*'Economic Projections'!$H5</f>
        <v>10890845.70972304</v>
      </c>
      <c r="K139" s="193">
        <v>2022</v>
      </c>
      <c r="L139" s="63">
        <f>L$137*'Economic Projections'!$I5</f>
        <v>575643995.19792402</v>
      </c>
      <c r="M139" s="63">
        <f>M$137*'Economic Projections'!$I5</f>
        <v>240482141.90658358</v>
      </c>
      <c r="N139" s="63">
        <f>N$137*'Economic Projections'!$I5</f>
        <v>452170713.82099634</v>
      </c>
      <c r="O139" s="63">
        <f>O$137*'Economic Projections'!$I5</f>
        <v>49595909.324258588</v>
      </c>
      <c r="P139" s="63">
        <f>P$137*'Economic Projections'!$I5</f>
        <v>75389237.912040323</v>
      </c>
      <c r="Q139" s="187">
        <f>Q$137*'Economic Projections'!$I5</f>
        <v>10658231.104033213</v>
      </c>
      <c r="S139" s="193">
        <v>2022</v>
      </c>
      <c r="T139" s="63">
        <f>'Economic Projections'!$J5*T$137</f>
        <v>567619441.72733057</v>
      </c>
      <c r="U139" s="63">
        <f>'Economic Projections'!$J5*U$137</f>
        <v>237129789.02433264</v>
      </c>
      <c r="V139" s="63">
        <f>'Economic Projections'!$J5*V$137</f>
        <v>445867394.23256671</v>
      </c>
      <c r="W139" s="63">
        <f>'Economic Projections'!$J5*W$137</f>
        <v>48904535.785030797</v>
      </c>
      <c r="X139" s="63">
        <f>'Economic Projections'!$J5*X$137</f>
        <v>74338301.95895277</v>
      </c>
      <c r="Y139" s="187">
        <f>'Economic Projections'!$J5*Y$137</f>
        <v>10509653.951991785</v>
      </c>
      <c r="AA139" s="193">
        <v>2022</v>
      </c>
      <c r="AB139" s="63">
        <f>AB$137*'Economic Projections'!$K5</f>
        <v>598464486.68459284</v>
      </c>
      <c r="AC139" s="63">
        <f>AC$137*'Economic Projections'!$K5</f>
        <v>250015674.29440632</v>
      </c>
      <c r="AD139" s="63">
        <f>AD$137*'Economic Projections'!$K5</f>
        <v>470096303.26751727</v>
      </c>
      <c r="AE139" s="63">
        <f>AE$137*'Economic Projections'!$K5</f>
        <v>51562060.341118753</v>
      </c>
      <c r="AF139" s="63">
        <f>AF$137*'Economic Projections'!$K5</f>
        <v>78377924.454955861</v>
      </c>
      <c r="AG139" s="187">
        <f>AG$137*'Economic Projections'!$K5</f>
        <v>11080759.740137393</v>
      </c>
    </row>
    <row r="140" spans="1:33">
      <c r="A140" s="256"/>
      <c r="B140" s="257"/>
      <c r="C140" s="193">
        <v>2023</v>
      </c>
      <c r="D140" s="63">
        <f>D$137*'Economic Projections'!$H6</f>
        <v>616425390.23102534</v>
      </c>
      <c r="E140" s="63">
        <f>E$137*'Economic Projections'!$H6</f>
        <v>257519055.88347083</v>
      </c>
      <c r="F140" s="63">
        <f>F$137*'Economic Projections'!$H6</f>
        <v>484204666.50106072</v>
      </c>
      <c r="G140" s="63">
        <f>G$137*'Economic Projections'!$H6</f>
        <v>53109522.576635242</v>
      </c>
      <c r="H140" s="63">
        <f>H$137*'Economic Projections'!$H6</f>
        <v>80730174.87687096</v>
      </c>
      <c r="I140" s="63">
        <f>I$137*'Economic Projections'!$H6</f>
        <v>11413311.564584561</v>
      </c>
      <c r="K140" s="193">
        <v>2023</v>
      </c>
      <c r="L140" s="63">
        <f>L$137*'Economic Projections'!$I6</f>
        <v>597580349.29688597</v>
      </c>
      <c r="M140" s="63">
        <f>M$137*'Economic Projections'!$I6</f>
        <v>249646315.35987538</v>
      </c>
      <c r="N140" s="63">
        <f>N$137*'Economic Projections'!$I6</f>
        <v>469401809.73149455</v>
      </c>
      <c r="O140" s="63">
        <f>O$137*'Economic Projections'!$I6</f>
        <v>51485885.486387886</v>
      </c>
      <c r="P140" s="63">
        <f>P$137*'Economic Projections'!$I6</f>
        <v>78262133.36806047</v>
      </c>
      <c r="Q140" s="187">
        <f>Q$137*'Economic Projections'!$I6</f>
        <v>11064389.65604982</v>
      </c>
      <c r="S140" s="193">
        <v>2023</v>
      </c>
      <c r="T140" s="63">
        <f>'Economic Projections'!$J6*T$137</f>
        <v>585543519.09099579</v>
      </c>
      <c r="U140" s="63">
        <f>'Economic Projections'!$J6*U$137</f>
        <v>244617786.03649893</v>
      </c>
      <c r="V140" s="63">
        <f>'Economic Projections'!$J6*V$137</f>
        <v>459946830.34885007</v>
      </c>
      <c r="W140" s="63">
        <f>'Economic Projections'!$J6*W$137</f>
        <v>50448825.177546196</v>
      </c>
      <c r="X140" s="63">
        <f>'Economic Projections'!$J6*X$137</f>
        <v>76685729.438429147</v>
      </c>
      <c r="Y140" s="187">
        <f>'Economic Projections'!$J6*Y$137</f>
        <v>10841523.927987678</v>
      </c>
      <c r="AA140" s="193">
        <v>2023</v>
      </c>
      <c r="AB140" s="63">
        <f>AB$137*'Economic Projections'!$K6</f>
        <v>631811086.52688932</v>
      </c>
      <c r="AC140" s="63">
        <f>AC$137*'Economic Projections'!$K6</f>
        <v>263946613.9416095</v>
      </c>
      <c r="AD140" s="63">
        <f>AD$137*'Economic Projections'!$K6</f>
        <v>496290193.90127593</v>
      </c>
      <c r="AE140" s="63">
        <f>AE$137*'Economic Projections'!$K6</f>
        <v>54435112.011678129</v>
      </c>
      <c r="AF140" s="63">
        <f>AF$137*'Economic Projections'!$K6</f>
        <v>82745163.182433784</v>
      </c>
      <c r="AG140" s="187">
        <f>AG$137*'Economic Projections'!$K6</f>
        <v>11698182.610206088</v>
      </c>
    </row>
    <row r="141" spans="1:33">
      <c r="A141" s="256"/>
      <c r="B141" s="257"/>
      <c r="C141" s="193">
        <v>2024</v>
      </c>
      <c r="D141" s="63">
        <f>D$137*'Economic Projections'!$H7</f>
        <v>644643424.6413672</v>
      </c>
      <c r="E141" s="63">
        <f>E$137*'Economic Projections'!$H7</f>
        <v>269307476.17796111</v>
      </c>
      <c r="F141" s="63">
        <f>F$137*'Economic Projections'!$H7</f>
        <v>506370048.0014143</v>
      </c>
      <c r="G141" s="63">
        <f>G$137*'Economic Projections'!$H7</f>
        <v>55540711.102180324</v>
      </c>
      <c r="H141" s="63">
        <f>H$137*'Economic Projections'!$H7</f>
        <v>84425750.835827932</v>
      </c>
      <c r="I141" s="63">
        <f>I$137*'Economic Projections'!$H7</f>
        <v>11935777.419446083</v>
      </c>
      <c r="K141" s="193">
        <v>2024</v>
      </c>
      <c r="L141" s="63">
        <f>L$137*'Economic Projections'!$I7</f>
        <v>619516703.39584792</v>
      </c>
      <c r="M141" s="63">
        <f>M$137*'Economic Projections'!$I7</f>
        <v>258810488.81316715</v>
      </c>
      <c r="N141" s="63">
        <f>N$137*'Economic Projections'!$I7</f>
        <v>486632905.64199269</v>
      </c>
      <c r="O141" s="63">
        <f>O$137*'Economic Projections'!$I7</f>
        <v>53375861.648517184</v>
      </c>
      <c r="P141" s="63">
        <f>P$137*'Economic Projections'!$I7</f>
        <v>81135028.824080631</v>
      </c>
      <c r="Q141" s="187">
        <f>Q$137*'Economic Projections'!$I7</f>
        <v>11470548.208066424</v>
      </c>
      <c r="S141" s="193">
        <v>2024</v>
      </c>
      <c r="T141" s="63">
        <f>'Economic Projections'!$J7*T$137</f>
        <v>603467596.45466113</v>
      </c>
      <c r="U141" s="63">
        <f>'Economic Projections'!$J7*U$137</f>
        <v>252105783.04866526</v>
      </c>
      <c r="V141" s="63">
        <f>'Economic Projections'!$J7*V$137</f>
        <v>474026266.46513337</v>
      </c>
      <c r="W141" s="63">
        <f>'Economic Projections'!$J7*W$137</f>
        <v>51993114.570061594</v>
      </c>
      <c r="X141" s="63">
        <f>'Economic Projections'!$J7*X$137</f>
        <v>79033156.917905539</v>
      </c>
      <c r="Y141" s="187">
        <f>'Economic Projections'!$J7*Y$137</f>
        <v>11173393.903983571</v>
      </c>
      <c r="AA141" s="193">
        <v>2024</v>
      </c>
      <c r="AB141" s="63">
        <f>AB$137*'Economic Projections'!$K7</f>
        <v>665157686.36918569</v>
      </c>
      <c r="AC141" s="63">
        <f>AC$137*'Economic Projections'!$K7</f>
        <v>277877553.58881265</v>
      </c>
      <c r="AD141" s="63">
        <f>AD$137*'Economic Projections'!$K7</f>
        <v>522484084.53503454</v>
      </c>
      <c r="AE141" s="63">
        <f>AE$137*'Economic Projections'!$K7</f>
        <v>57308163.682237513</v>
      </c>
      <c r="AF141" s="63">
        <f>AF$137*'Economic Projections'!$K7</f>
        <v>87112401.909911707</v>
      </c>
      <c r="AG141" s="187">
        <f>AG$137*'Economic Projections'!$K7</f>
        <v>12315605.480274783</v>
      </c>
    </row>
    <row r="142" spans="1:33">
      <c r="A142" s="256"/>
      <c r="B142" s="257"/>
      <c r="C142" s="193">
        <v>2025</v>
      </c>
      <c r="D142" s="63">
        <f>D$137*'Economic Projections'!$H8</f>
        <v>672861459.05170894</v>
      </c>
      <c r="E142" s="63">
        <f>E$137*'Economic Projections'!$H8</f>
        <v>281095896.47245139</v>
      </c>
      <c r="F142" s="63">
        <f>F$137*'Economic Projections'!$H8</f>
        <v>528535429.50176787</v>
      </c>
      <c r="G142" s="63">
        <f>G$137*'Economic Projections'!$H8</f>
        <v>57971899.6277254</v>
      </c>
      <c r="H142" s="63">
        <f>H$137*'Economic Projections'!$H8</f>
        <v>88121326.794784918</v>
      </c>
      <c r="I142" s="63">
        <f>I$137*'Economic Projections'!$H8</f>
        <v>12458243.274307603</v>
      </c>
      <c r="K142" s="193">
        <v>2025</v>
      </c>
      <c r="L142" s="63">
        <f>L$137*'Economic Projections'!$I8</f>
        <v>641453057.49480987</v>
      </c>
      <c r="M142" s="63">
        <f>M$137*'Economic Projections'!$I8</f>
        <v>267974662.26645896</v>
      </c>
      <c r="N142" s="63">
        <f>N$137*'Economic Projections'!$I8</f>
        <v>503864001.55249089</v>
      </c>
      <c r="O142" s="63">
        <f>O$137*'Economic Projections'!$I8</f>
        <v>55265837.810646474</v>
      </c>
      <c r="P142" s="63">
        <f>P$137*'Economic Projections'!$I8</f>
        <v>84007924.280100793</v>
      </c>
      <c r="Q142" s="187">
        <f>Q$137*'Economic Projections'!$I8</f>
        <v>11876706.760083031</v>
      </c>
      <c r="S142" s="193">
        <v>2025</v>
      </c>
      <c r="T142" s="63">
        <f>'Economic Projections'!$J8*T$137</f>
        <v>621391673.81832635</v>
      </c>
      <c r="U142" s="63">
        <f>'Economic Projections'!$J8*U$137</f>
        <v>259593780.06083158</v>
      </c>
      <c r="V142" s="63">
        <f>'Economic Projections'!$J8*V$137</f>
        <v>488105702.58141673</v>
      </c>
      <c r="W142" s="63">
        <f>'Economic Projections'!$J8*W$137</f>
        <v>53537403.962576993</v>
      </c>
      <c r="X142" s="63">
        <f>'Economic Projections'!$J8*X$137</f>
        <v>81380584.397381917</v>
      </c>
      <c r="Y142" s="187">
        <f>'Economic Projections'!$J8*Y$137</f>
        <v>11505263.879979463</v>
      </c>
      <c r="AA142" s="193">
        <v>2025</v>
      </c>
      <c r="AB142" s="63">
        <f>AB$137*'Economic Projections'!$K8</f>
        <v>698504286.21148217</v>
      </c>
      <c r="AC142" s="63">
        <f>AC$137*'Economic Projections'!$K8</f>
        <v>291808493.23601586</v>
      </c>
      <c r="AD142" s="63">
        <f>AD$137*'Economic Projections'!$K8</f>
        <v>548677975.1687932</v>
      </c>
      <c r="AE142" s="63">
        <f>AE$137*'Economic Projections'!$K8</f>
        <v>60181215.35279689</v>
      </c>
      <c r="AF142" s="63">
        <f>AF$137*'Economic Projections'!$K8</f>
        <v>91479640.637389645</v>
      </c>
      <c r="AG142" s="187">
        <f>AG$137*'Economic Projections'!$K8</f>
        <v>12933028.350343481</v>
      </c>
    </row>
    <row r="143" spans="1:33">
      <c r="A143" s="256"/>
      <c r="B143" s="257"/>
      <c r="C143" s="193">
        <v>2026</v>
      </c>
      <c r="D143" s="63">
        <f>D$137*'Economic Projections'!$H9</f>
        <v>701079493.4620508</v>
      </c>
      <c r="E143" s="63">
        <f>E$137*'Economic Projections'!$H9</f>
        <v>292884316.76694167</v>
      </c>
      <c r="F143" s="63">
        <f>F$137*'Economic Projections'!$H9</f>
        <v>550700811.00212145</v>
      </c>
      <c r="G143" s="63">
        <f>G$137*'Economic Projections'!$H9</f>
        <v>60403088.153270483</v>
      </c>
      <c r="H143" s="63">
        <f>H$137*'Economic Projections'!$H9</f>
        <v>91816902.753741905</v>
      </c>
      <c r="I143" s="63">
        <f>I$137*'Economic Projections'!$H9</f>
        <v>12980709.129169123</v>
      </c>
      <c r="K143" s="193">
        <v>2026</v>
      </c>
      <c r="L143" s="63">
        <f>L$137*'Economic Projections'!$I9</f>
        <v>663389411.59377193</v>
      </c>
      <c r="M143" s="63">
        <f>M$137*'Economic Projections'!$I9</f>
        <v>277138835.71975076</v>
      </c>
      <c r="N143" s="63">
        <f>N$137*'Economic Projections'!$I9</f>
        <v>521095097.46298903</v>
      </c>
      <c r="O143" s="63">
        <f>O$137*'Economic Projections'!$I9</f>
        <v>57155813.972775772</v>
      </c>
      <c r="P143" s="63">
        <f>P$137*'Economic Projections'!$I9</f>
        <v>86880819.736120954</v>
      </c>
      <c r="Q143" s="187">
        <f>Q$137*'Economic Projections'!$I9</f>
        <v>12282865.312099637</v>
      </c>
      <c r="S143" s="193">
        <v>2026</v>
      </c>
      <c r="T143" s="63">
        <f>'Economic Projections'!$J9*T$137</f>
        <v>639315751.1819917</v>
      </c>
      <c r="U143" s="63">
        <f>'Economic Projections'!$J9*U$137</f>
        <v>267081777.0729979</v>
      </c>
      <c r="V143" s="63">
        <f>'Economic Projections'!$J9*V$137</f>
        <v>502185138.69770008</v>
      </c>
      <c r="W143" s="63">
        <f>'Economic Projections'!$J9*W$137</f>
        <v>55081693.355092391</v>
      </c>
      <c r="X143" s="63">
        <f>'Economic Projections'!$J9*X$137</f>
        <v>83728011.876858294</v>
      </c>
      <c r="Y143" s="187">
        <f>'Economic Projections'!$J9*Y$137</f>
        <v>11837133.855975356</v>
      </c>
      <c r="AA143" s="193">
        <v>2026</v>
      </c>
      <c r="AB143" s="63">
        <f>AB$137*'Economic Projections'!$K9</f>
        <v>731850886.05377865</v>
      </c>
      <c r="AC143" s="63">
        <f>AC$137*'Economic Projections'!$K9</f>
        <v>305739432.883219</v>
      </c>
      <c r="AD143" s="63">
        <f>AD$137*'Economic Projections'!$K9</f>
        <v>574871865.80255187</v>
      </c>
      <c r="AE143" s="63">
        <f>AE$137*'Economic Projections'!$K9</f>
        <v>63054267.023356266</v>
      </c>
      <c r="AF143" s="63">
        <f>AF$137*'Economic Projections'!$K9</f>
        <v>95846879.364867568</v>
      </c>
      <c r="AG143" s="187">
        <f>AG$137*'Economic Projections'!$K9</f>
        <v>13550451.220412176</v>
      </c>
    </row>
    <row r="144" spans="1:33">
      <c r="A144" s="256"/>
      <c r="B144" s="257"/>
      <c r="C144" s="193">
        <v>2027</v>
      </c>
      <c r="D144" s="63">
        <f>D$137*'Economic Projections'!$H10</f>
        <v>729297527.87239254</v>
      </c>
      <c r="E144" s="63">
        <f>E$137*'Economic Projections'!$H10</f>
        <v>304672737.06143194</v>
      </c>
      <c r="F144" s="63">
        <f>F$137*'Economic Projections'!$H10</f>
        <v>572866192.50247502</v>
      </c>
      <c r="G144" s="63">
        <f>G$137*'Economic Projections'!$H10</f>
        <v>62834276.678815566</v>
      </c>
      <c r="H144" s="63">
        <f>H$137*'Economic Projections'!$H10</f>
        <v>95512478.712698892</v>
      </c>
      <c r="I144" s="63">
        <f>I$137*'Economic Projections'!$H10</f>
        <v>13503174.984030643</v>
      </c>
      <c r="K144" s="193">
        <v>2027</v>
      </c>
      <c r="L144" s="63">
        <f>L$137*'Economic Projections'!$I10</f>
        <v>685325765.69273388</v>
      </c>
      <c r="M144" s="63">
        <f>M$137*'Economic Projections'!$I10</f>
        <v>286303009.17304254</v>
      </c>
      <c r="N144" s="63">
        <f>N$137*'Economic Projections'!$I10</f>
        <v>538326193.37348723</v>
      </c>
      <c r="O144" s="63">
        <f>O$137*'Economic Projections'!$I10</f>
        <v>59045790.134905063</v>
      </c>
      <c r="P144" s="63">
        <f>P$137*'Economic Projections'!$I10</f>
        <v>89753715.192141116</v>
      </c>
      <c r="Q144" s="187">
        <f>Q$137*'Economic Projections'!$I10</f>
        <v>12689023.864116244</v>
      </c>
      <c r="S144" s="193">
        <v>2027</v>
      </c>
      <c r="T144" s="63">
        <f>'Economic Projections'!$J10*T$137</f>
        <v>657239828.54565692</v>
      </c>
      <c r="U144" s="63">
        <f>'Economic Projections'!$J10*U$137</f>
        <v>274569774.08516419</v>
      </c>
      <c r="V144" s="63">
        <f>'Economic Projections'!$J10*V$137</f>
        <v>516264574.81398344</v>
      </c>
      <c r="W144" s="63">
        <f>'Economic Projections'!$J10*W$137</f>
        <v>56625982.74760779</v>
      </c>
      <c r="X144" s="63">
        <f>'Economic Projections'!$J10*X$137</f>
        <v>86075439.356334686</v>
      </c>
      <c r="Y144" s="187">
        <f>'Economic Projections'!$J10*Y$137</f>
        <v>12169003.831971249</v>
      </c>
      <c r="AA144" s="193">
        <v>2027</v>
      </c>
      <c r="AB144" s="63">
        <f>AB$137*'Economic Projections'!$K10</f>
        <v>765197485.89607501</v>
      </c>
      <c r="AC144" s="63">
        <f>AC$137*'Economic Projections'!$K10</f>
        <v>319670372.53042215</v>
      </c>
      <c r="AD144" s="63">
        <f>AD$137*'Economic Projections'!$K10</f>
        <v>601065756.43631041</v>
      </c>
      <c r="AE144" s="63">
        <f>AE$137*'Economic Projections'!$K10</f>
        <v>65927318.693915643</v>
      </c>
      <c r="AF144" s="63">
        <f>AF$137*'Economic Projections'!$K10</f>
        <v>100214118.09234549</v>
      </c>
      <c r="AG144" s="187">
        <f>AG$137*'Economic Projections'!$K10</f>
        <v>14167874.090480871</v>
      </c>
    </row>
    <row r="145" spans="1:34">
      <c r="A145" s="256"/>
      <c r="B145" s="257"/>
      <c r="C145" s="193">
        <v>2028</v>
      </c>
      <c r="D145" s="63">
        <f>D$137*'Economic Projections'!$H11</f>
        <v>757515562.28273427</v>
      </c>
      <c r="E145" s="63">
        <f>E$137*'Economic Projections'!$H11</f>
        <v>316461157.35592228</v>
      </c>
      <c r="F145" s="63">
        <f>F$137*'Economic Projections'!$H11</f>
        <v>595031574.0028286</v>
      </c>
      <c r="G145" s="63">
        <f>G$137*'Economic Projections'!$H11</f>
        <v>65265465.204360642</v>
      </c>
      <c r="H145" s="63">
        <f>H$137*'Economic Projections'!$H11</f>
        <v>99208054.671655878</v>
      </c>
      <c r="I145" s="63">
        <f>I$137*'Economic Projections'!$H11</f>
        <v>14025640.838892164</v>
      </c>
      <c r="K145" s="193">
        <v>2028</v>
      </c>
      <c r="L145" s="63">
        <f>L$137*'Economic Projections'!$I11</f>
        <v>707262119.79169583</v>
      </c>
      <c r="M145" s="63">
        <f>M$137*'Economic Projections'!$I11</f>
        <v>295467182.62633431</v>
      </c>
      <c r="N145" s="63">
        <f>N$137*'Economic Projections'!$I11</f>
        <v>555557289.28398538</v>
      </c>
      <c r="O145" s="63">
        <f>O$137*'Economic Projections'!$I11</f>
        <v>60935766.29703436</v>
      </c>
      <c r="P145" s="63">
        <f>P$137*'Economic Projections'!$I11</f>
        <v>92626610.648161262</v>
      </c>
      <c r="Q145" s="187">
        <f>Q$137*'Economic Projections'!$I11</f>
        <v>13095182.416132851</v>
      </c>
      <c r="S145" s="193">
        <v>2028</v>
      </c>
      <c r="T145" s="63">
        <f>'Economic Projections'!$J11*T$137</f>
        <v>675163905.90932214</v>
      </c>
      <c r="U145" s="63">
        <f>'Economic Projections'!$J11*U$137</f>
        <v>282057771.09733051</v>
      </c>
      <c r="V145" s="63">
        <f>'Economic Projections'!$J11*V$137</f>
        <v>530344010.9302668</v>
      </c>
      <c r="W145" s="63">
        <f>'Economic Projections'!$J11*W$137</f>
        <v>58170272.140123188</v>
      </c>
      <c r="X145" s="63">
        <f>'Economic Projections'!$J11*X$137</f>
        <v>88422866.835811064</v>
      </c>
      <c r="Y145" s="187">
        <f>'Economic Projections'!$J11*Y$137</f>
        <v>12500873.807967143</v>
      </c>
      <c r="AA145" s="193">
        <v>2028</v>
      </c>
      <c r="AB145" s="63">
        <f>AB$137*'Economic Projections'!$K11</f>
        <v>798544085.73837149</v>
      </c>
      <c r="AC145" s="63">
        <f>AC$137*'Economic Projections'!$K11</f>
        <v>333601312.17762536</v>
      </c>
      <c r="AD145" s="63">
        <f>AD$137*'Economic Projections'!$K11</f>
        <v>627259647.07006907</v>
      </c>
      <c r="AE145" s="63">
        <f>AE$137*'Economic Projections'!$K11</f>
        <v>68800370.364475027</v>
      </c>
      <c r="AF145" s="63">
        <f>AF$137*'Economic Projections'!$K11</f>
        <v>104581356.81982343</v>
      </c>
      <c r="AG145" s="187">
        <f>AG$137*'Economic Projections'!$K11</f>
        <v>14785296.960549569</v>
      </c>
    </row>
    <row r="146" spans="1:34">
      <c r="A146" s="256"/>
      <c r="B146" s="257"/>
      <c r="C146" s="193">
        <v>2029</v>
      </c>
      <c r="D146" s="63">
        <f>D$137*'Economic Projections'!$H12</f>
        <v>785733596.69307613</v>
      </c>
      <c r="E146" s="63">
        <f>E$137*'Economic Projections'!$H12</f>
        <v>328249577.65041256</v>
      </c>
      <c r="F146" s="63">
        <f>F$137*'Economic Projections'!$H12</f>
        <v>617196955.50318217</v>
      </c>
      <c r="G146" s="63">
        <f>G$137*'Economic Projections'!$H12</f>
        <v>67696653.729905725</v>
      </c>
      <c r="H146" s="63">
        <f>H$137*'Economic Projections'!$H12</f>
        <v>102903630.63061287</v>
      </c>
      <c r="I146" s="63">
        <f>I$137*'Economic Projections'!$H12</f>
        <v>14548106.693753684</v>
      </c>
      <c r="K146" s="193">
        <v>2029</v>
      </c>
      <c r="L146" s="63">
        <f>L$137*'Economic Projections'!$I12</f>
        <v>729198473.8906579</v>
      </c>
      <c r="M146" s="63">
        <f>M$137*'Economic Projections'!$I12</f>
        <v>304631356.07962614</v>
      </c>
      <c r="N146" s="63">
        <f>N$137*'Economic Projections'!$I12</f>
        <v>572788385.19448364</v>
      </c>
      <c r="O146" s="63">
        <f>O$137*'Economic Projections'!$I12</f>
        <v>62825742.459163658</v>
      </c>
      <c r="P146" s="63">
        <f>P$137*'Economic Projections'!$I12</f>
        <v>95499506.104181424</v>
      </c>
      <c r="Q146" s="187">
        <f>Q$137*'Economic Projections'!$I12</f>
        <v>13501340.968149457</v>
      </c>
      <c r="S146" s="193">
        <v>2029</v>
      </c>
      <c r="T146" s="63">
        <f>'Economic Projections'!$J12*T$137</f>
        <v>693087983.27298748</v>
      </c>
      <c r="U146" s="63">
        <f>'Economic Projections'!$J12*U$137</f>
        <v>289545768.10949683</v>
      </c>
      <c r="V146" s="63">
        <f>'Economic Projections'!$J12*V$137</f>
        <v>544423447.04655015</v>
      </c>
      <c r="W146" s="63">
        <f>'Economic Projections'!$J12*W$137</f>
        <v>59714561.532638587</v>
      </c>
      <c r="X146" s="63">
        <f>'Economic Projections'!$J12*X$137</f>
        <v>90770294.315287441</v>
      </c>
      <c r="Y146" s="187">
        <f>'Economic Projections'!$J12*Y$137</f>
        <v>12832743.783963036</v>
      </c>
      <c r="AA146" s="193">
        <v>2029</v>
      </c>
      <c r="AB146" s="63">
        <f>AB$137*'Economic Projections'!$K12</f>
        <v>831890685.58066785</v>
      </c>
      <c r="AC146" s="63">
        <f>AC$137*'Economic Projections'!$K12</f>
        <v>347532251.82482851</v>
      </c>
      <c r="AD146" s="63">
        <f>AD$137*'Economic Projections'!$K12</f>
        <v>653453537.70382774</v>
      </c>
      <c r="AE146" s="63">
        <f>AE$137*'Economic Projections'!$K12</f>
        <v>71673422.035034403</v>
      </c>
      <c r="AF146" s="63">
        <f>AF$137*'Economic Projections'!$K12</f>
        <v>108948595.54730135</v>
      </c>
      <c r="AG146" s="187">
        <f>AG$137*'Economic Projections'!$K12</f>
        <v>15402719.830618264</v>
      </c>
    </row>
    <row r="147" spans="1:34">
      <c r="A147" s="256"/>
      <c r="B147" s="257"/>
      <c r="C147" s="193">
        <v>2030</v>
      </c>
      <c r="D147" s="63">
        <f>D$137*'Economic Projections'!$H13</f>
        <v>813951631.10341775</v>
      </c>
      <c r="E147" s="63">
        <f>E$137*'Economic Projections'!$H13</f>
        <v>340037997.94490278</v>
      </c>
      <c r="F147" s="63">
        <f>F$137*'Economic Projections'!$H13</f>
        <v>639362337.00353563</v>
      </c>
      <c r="G147" s="63">
        <f>G$137*'Economic Projections'!$H13</f>
        <v>70127842.2554508</v>
      </c>
      <c r="H147" s="63">
        <f>H$137*'Economic Projections'!$H13</f>
        <v>106599206.58956982</v>
      </c>
      <c r="I147" s="63">
        <f>I$137*'Economic Projections'!$H13</f>
        <v>15070572.548615202</v>
      </c>
      <c r="K147" s="193">
        <v>2030</v>
      </c>
      <c r="L147" s="63">
        <f>L$137*'Economic Projections'!$I13</f>
        <v>751134827.98962033</v>
      </c>
      <c r="M147" s="63">
        <f>M$137*'Economic Projections'!$I13</f>
        <v>313795529.5329181</v>
      </c>
      <c r="N147" s="63">
        <f>N$137*'Economic Projections'!$I13</f>
        <v>590019481.10498214</v>
      </c>
      <c r="O147" s="63">
        <f>O$137*'Economic Projections'!$I13</f>
        <v>64715718.621292993</v>
      </c>
      <c r="P147" s="63">
        <f>P$137*'Economic Projections'!$I13</f>
        <v>98372401.560201645</v>
      </c>
      <c r="Q147" s="187">
        <f>Q$137*'Economic Projections'!$I13</f>
        <v>13907499.520166071</v>
      </c>
      <c r="S147" s="193">
        <v>2030</v>
      </c>
      <c r="T147" s="63">
        <f>'Economic Projections'!$J13*T$137</f>
        <v>711012060.63665283</v>
      </c>
      <c r="U147" s="63">
        <f>'Economic Projections'!$J13*U$137</f>
        <v>297033765.12166321</v>
      </c>
      <c r="V147" s="63">
        <f>'Economic Projections'!$J13*V$137</f>
        <v>558502883.16283357</v>
      </c>
      <c r="W147" s="63">
        <f>'Economic Projections'!$J13*W$137</f>
        <v>61258850.925153993</v>
      </c>
      <c r="X147" s="63">
        <f>'Economic Projections'!$J13*X$137</f>
        <v>93117721.794763848</v>
      </c>
      <c r="Y147" s="187">
        <f>'Economic Projections'!$J13*Y$137</f>
        <v>13164613.75995893</v>
      </c>
      <c r="AA147" s="193">
        <v>2030</v>
      </c>
      <c r="AB147" s="63">
        <f>AB$137*'Economic Projections'!$K13</f>
        <v>865237285.42296374</v>
      </c>
      <c r="AC147" s="63">
        <f>AC$137*'Economic Projections'!$K13</f>
        <v>361463191.47203141</v>
      </c>
      <c r="AD147" s="63">
        <f>AD$137*'Economic Projections'!$K13</f>
        <v>679647428.33758593</v>
      </c>
      <c r="AE147" s="63">
        <f>AE$137*'Economic Projections'!$K13</f>
        <v>74546473.70559372</v>
      </c>
      <c r="AF147" s="63">
        <f>AF$137*'Economic Projections'!$K13</f>
        <v>113315834.2747792</v>
      </c>
      <c r="AG147" s="187">
        <f>AG$137*'Economic Projections'!$K13</f>
        <v>16020142.700686948</v>
      </c>
    </row>
    <row r="148" spans="1:34">
      <c r="A148" s="256"/>
      <c r="B148" s="257"/>
      <c r="C148" s="193">
        <v>2040</v>
      </c>
      <c r="D148" s="63">
        <f>D$137*'Economic Projections'!$H14</f>
        <v>1165697812.39835</v>
      </c>
      <c r="E148" s="63">
        <f>E$137*'Economic Projections'!$H14</f>
        <v>486984158.75073659</v>
      </c>
      <c r="F148" s="63">
        <f>F$137*'Economic Projections'!$H14</f>
        <v>915660401.79139662</v>
      </c>
      <c r="G148" s="63">
        <f>G$137*'Economic Projections'!$H14</f>
        <v>100433329.42840306</v>
      </c>
      <c r="H148" s="63">
        <f>H$137*'Economic Projections'!$H14</f>
        <v>152665658.71538007</v>
      </c>
      <c r="I148" s="63">
        <f>I$137*'Economic Projections'!$H14</f>
        <v>21583264.631703004</v>
      </c>
      <c r="K148" s="193">
        <v>2040</v>
      </c>
      <c r="L148" s="63">
        <f>L$137*'Economic Projections'!$I14</f>
        <v>974546054.73438108</v>
      </c>
      <c r="M148" s="63">
        <f>M$137*'Economic Projections'!$I14</f>
        <v>407128233.047153</v>
      </c>
      <c r="N148" s="63">
        <f>N$137*'Economic Projections'!$I14</f>
        <v>765509913.93416369</v>
      </c>
      <c r="O148" s="63">
        <f>O$137*'Economic Projections'!$I14</f>
        <v>83964217.756326601</v>
      </c>
      <c r="P148" s="63">
        <f>P$137*'Economic Projections'!$I14</f>
        <v>127631461.44058916</v>
      </c>
      <c r="Q148" s="187">
        <f>Q$137*'Economic Projections'!$I14</f>
        <v>18044029.225583233</v>
      </c>
      <c r="S148" s="193">
        <v>2040</v>
      </c>
      <c r="T148" s="63">
        <f>'Economic Projections'!$J14*T$137</f>
        <v>837348688.78018475</v>
      </c>
      <c r="U148" s="63">
        <f>'Economic Projections'!$J14*U$137</f>
        <v>349812397.73254621</v>
      </c>
      <c r="V148" s="63">
        <f>'Economic Projections'!$J14*V$137</f>
        <v>657740821.55174541</v>
      </c>
      <c r="W148" s="63">
        <f>'Economic Projections'!$J14*W$137</f>
        <v>72143668.635420948</v>
      </c>
      <c r="X148" s="63">
        <f>'Economic Projections'!$J14*X$137</f>
        <v>109663403.14568788</v>
      </c>
      <c r="Y148" s="187">
        <f>'Economic Projections'!$J14*Y$137</f>
        <v>15503776.490554415</v>
      </c>
      <c r="AA148" s="193">
        <v>2040</v>
      </c>
      <c r="AB148" s="63">
        <f>AB$137*'Economic Projections'!$K14</f>
        <v>1357869370.7301276</v>
      </c>
      <c r="AC148" s="63">
        <f>AC$137*'Economic Projections'!$K14</f>
        <v>567266118.34151125</v>
      </c>
      <c r="AD148" s="63">
        <f>AD$137*'Economic Projections'!$K14</f>
        <v>1066611947.2463199</v>
      </c>
      <c r="AE148" s="63">
        <f>AE$137*'Economic Projections'!$K14</f>
        <v>116990304.33169773</v>
      </c>
      <c r="AF148" s="63">
        <f>AF$137*'Economic Projections'!$K14</f>
        <v>177833414.22374877</v>
      </c>
      <c r="AG148" s="187">
        <f>AG$137*'Economic Projections'!$K14</f>
        <v>25141381.97055937</v>
      </c>
    </row>
    <row r="149" spans="1:34">
      <c r="A149" s="256"/>
      <c r="B149" s="257"/>
      <c r="C149" s="193">
        <v>2050</v>
      </c>
      <c r="D149" s="63">
        <f>D$137*'Economic Projections'!$H15</f>
        <v>1521360989.0306425</v>
      </c>
      <c r="E149" s="63">
        <f>E$137*'Economic Projections'!$H15</f>
        <v>635566691.05774903</v>
      </c>
      <c r="F149" s="63">
        <f>F$137*'Economic Projections'!$H15</f>
        <v>1195035282.445492</v>
      </c>
      <c r="G149" s="63">
        <f>G$137*'Economic Projections'!$H15</f>
        <v>131076294.18680024</v>
      </c>
      <c r="H149" s="63">
        <f>H$137*'Economic Projections'!$H15</f>
        <v>199245100.28579849</v>
      </c>
      <c r="I149" s="63">
        <f>I$137*'Economic Projections'!$H15</f>
        <v>28168481.125515617</v>
      </c>
      <c r="K149" s="193">
        <v>2050</v>
      </c>
      <c r="L149" s="63">
        <f>L$137*'Economic Projections'!$I15</f>
        <v>1210047771.3970938</v>
      </c>
      <c r="M149" s="63">
        <f>M$137*'Economic Projections'!$I15</f>
        <v>505511882.8692171</v>
      </c>
      <c r="N149" s="63">
        <f>N$137*'Economic Projections'!$I15</f>
        <v>950497476.06939507</v>
      </c>
      <c r="O149" s="63">
        <f>O$137*'Economic Projections'!$I15</f>
        <v>104254400.37396204</v>
      </c>
      <c r="P149" s="63">
        <f>P$137*'Economic Projections'!$I15</f>
        <v>158473952.79685649</v>
      </c>
      <c r="Q149" s="187">
        <f>Q$137*'Economic Projections'!$I15</f>
        <v>22404418.185646504</v>
      </c>
      <c r="S149" s="193">
        <v>2050</v>
      </c>
      <c r="T149" s="63">
        <f>'Economic Projections'!$J15*T$137</f>
        <v>936332399.59445584</v>
      </c>
      <c r="U149" s="63">
        <f>'Economic Projections'!$J15*U$137</f>
        <v>391164023.02361393</v>
      </c>
      <c r="V149" s="63">
        <f>'Economic Projections'!$J15*V$137</f>
        <v>735492931.44763863</v>
      </c>
      <c r="W149" s="63">
        <f>'Economic Projections'!$J15*W$137</f>
        <v>80671833.937371656</v>
      </c>
      <c r="X149" s="63">
        <f>'Economic Projections'!$J15*X$137</f>
        <v>122626808.62936345</v>
      </c>
      <c r="Y149" s="187">
        <f>'Economic Projections'!$J15*Y$137</f>
        <v>17336491.283367556</v>
      </c>
      <c r="AA149" s="193">
        <v>2050</v>
      </c>
      <c r="AB149" s="63">
        <f>AB$137*'Economic Projections'!$K15</f>
        <v>1903208914.3169773</v>
      </c>
      <c r="AC149" s="63">
        <f>AC$137*'Economic Projections'!$K15</f>
        <v>795088214.29342484</v>
      </c>
      <c r="AD149" s="63">
        <f>AD$137*'Economic Projections'!$K15</f>
        <v>1494978390.3179586</v>
      </c>
      <c r="AE149" s="63">
        <f>AE$137*'Economic Projections'!$K15</f>
        <v>163975265.14131501</v>
      </c>
      <c r="AF149" s="63">
        <f>AF$137*'Economic Projections'!$K15</f>
        <v>249253828.46810597</v>
      </c>
      <c r="AG149" s="187">
        <f>AG$137*'Economic Projections'!$K15</f>
        <v>35238516.543670259</v>
      </c>
    </row>
    <row r="150" spans="1:34">
      <c r="A150" s="256"/>
      <c r="B150" s="257"/>
      <c r="C150" s="193">
        <v>2060</v>
      </c>
      <c r="D150" s="63">
        <f>D$137*'Economic Projections'!$H16</f>
        <v>1860781691.6640153</v>
      </c>
      <c r="E150" s="63">
        <f>E$137*'Economic Projections'!$H16</f>
        <v>777363736.20654106</v>
      </c>
      <c r="F150" s="63">
        <f>F$137*'Economic Projections'!$H16</f>
        <v>1461651633.3076019</v>
      </c>
      <c r="G150" s="63">
        <f>G$137*'Economic Projections'!$H16</f>
        <v>160319851.89088592</v>
      </c>
      <c r="H150" s="63">
        <f>H$137*'Economic Projections'!$H16</f>
        <v>243697345.62590852</v>
      </c>
      <c r="I150" s="63">
        <f>I$137*'Economic Projections'!$H16</f>
        <v>34452963.062856026</v>
      </c>
      <c r="K150" s="193">
        <v>2060</v>
      </c>
      <c r="L150" s="63">
        <f>L$137*'Economic Projections'!$I16</f>
        <v>1464631435.1911824</v>
      </c>
      <c r="M150" s="63">
        <f>M$137*'Economic Projections'!$I16</f>
        <v>611867243.60320282</v>
      </c>
      <c r="N150" s="63">
        <f>N$137*'Economic Projections'!$I16</f>
        <v>1150473985.7615659</v>
      </c>
      <c r="O150" s="63">
        <f>O$137*'Economic Projections'!$I16</f>
        <v>126188631.27066034</v>
      </c>
      <c r="P150" s="63">
        <f>P$137*'Economic Projections'!$I16</f>
        <v>191815512.09114274</v>
      </c>
      <c r="Q150" s="187">
        <f>Q$137*'Economic Projections'!$I16</f>
        <v>27118115.447607752</v>
      </c>
      <c r="S150" s="193">
        <v>2060</v>
      </c>
      <c r="T150" s="63">
        <f>'Economic Projections'!$J16*T$137</f>
        <v>1023195656.0233059</v>
      </c>
      <c r="U150" s="63">
        <f>'Economic Projections'!$J16*U$137</f>
        <v>427452183.99332643</v>
      </c>
      <c r="V150" s="63">
        <f>'Economic Projections'!$J16*V$137</f>
        <v>803724374.82566726</v>
      </c>
      <c r="W150" s="63">
        <f>'Economic Projections'!$J16*W$137</f>
        <v>88155734.100308001</v>
      </c>
      <c r="X150" s="63">
        <f>'Economic Projections'!$J16*X$137</f>
        <v>134002858.33952771</v>
      </c>
      <c r="Y150" s="187">
        <f>'Economic Projections'!$J16*Y$137</f>
        <v>18944792.019917861</v>
      </c>
      <c r="AA150" s="193">
        <v>2060</v>
      </c>
      <c r="AB150" s="63">
        <f>AB$137*'Economic Projections'!$K16</f>
        <v>2496037355.9578018</v>
      </c>
      <c r="AC150" s="63">
        <f>AC$137*'Economic Projections'!$K16</f>
        <v>1042749363.5770363</v>
      </c>
      <c r="AD150" s="63">
        <f>AD$137*'Economic Projections'!$K16</f>
        <v>1960647557.1403337</v>
      </c>
      <c r="AE150" s="63">
        <f>AE$137*'Economic Projections'!$K16</f>
        <v>215051739.28459272</v>
      </c>
      <c r="AF150" s="63">
        <f>AF$137*'Economic Projections'!$K16</f>
        <v>326893628.06771344</v>
      </c>
      <c r="AG150" s="187">
        <f>AG$137*'Economic Projections'!$K16</f>
        <v>46214923.12266928</v>
      </c>
    </row>
    <row r="151" spans="1:34">
      <c r="A151" s="256"/>
      <c r="B151" s="257"/>
      <c r="C151" s="193">
        <v>2070</v>
      </c>
      <c r="D151" s="63">
        <f>D$137*'Economic Projections'!$H17</f>
        <v>2189809300.0022593</v>
      </c>
      <c r="E151" s="63">
        <f>E$137*'Economic Projections'!$H17</f>
        <v>914818942.30553937</v>
      </c>
      <c r="F151" s="63">
        <f>F$137*'Economic Projections'!$H17</f>
        <v>1720104166.0713027</v>
      </c>
      <c r="G151" s="63">
        <f>G$137*'Economic Projections'!$H17</f>
        <v>188667969.06825775</v>
      </c>
      <c r="H151" s="63">
        <f>H$137*'Economic Projections'!$H17</f>
        <v>286788458.97299159</v>
      </c>
      <c r="I151" s="63">
        <f>I$137*'Economic Projections'!$H17</f>
        <v>40545013.563739941</v>
      </c>
      <c r="K151" s="193">
        <v>2070</v>
      </c>
      <c r="L151" s="63">
        <f>L$137*'Economic Projections'!$I17</f>
        <v>1756748185.0783908</v>
      </c>
      <c r="M151" s="63">
        <f>M$137*'Economic Projections'!$I17</f>
        <v>733902498.52758014</v>
      </c>
      <c r="N151" s="63">
        <f>N$137*'Economic Projections'!$I17</f>
        <v>1379932888.1690392</v>
      </c>
      <c r="O151" s="63">
        <f>O$137*'Economic Projections'!$I17</f>
        <v>151356610.0220443</v>
      </c>
      <c r="P151" s="63">
        <f>P$137*'Economic Projections'!$I17</f>
        <v>230072593.44533414</v>
      </c>
      <c r="Q151" s="187">
        <f>Q$137*'Economic Projections'!$I17</f>
        <v>32526749.700079087</v>
      </c>
      <c r="S151" s="193">
        <v>2070</v>
      </c>
      <c r="T151" s="63">
        <f>'Economic Projections'!$J17*T$137</f>
        <v>1114208257.1967146</v>
      </c>
      <c r="U151" s="63">
        <f>'Economic Projections'!$J17*U$137</f>
        <v>465473783.19917864</v>
      </c>
      <c r="V151" s="63">
        <f>'Economic Projections'!$J17*V$137</f>
        <v>875215145.48008204</v>
      </c>
      <c r="W151" s="63">
        <f>'Economic Projections'!$J17*W$137</f>
        <v>95997130.43696098</v>
      </c>
      <c r="X151" s="63">
        <f>'Economic Projections'!$J17*X$137</f>
        <v>145922327.14332649</v>
      </c>
      <c r="Y151" s="187">
        <f>'Economic Projections'!$J17*Y$137</f>
        <v>20629919.190143738</v>
      </c>
      <c r="AA151" s="193">
        <v>2070</v>
      </c>
      <c r="AB151" s="63">
        <f>AB$137*'Economic Projections'!$K17</f>
        <v>3161403784.7360153</v>
      </c>
      <c r="AC151" s="63">
        <f>AC$137*'Economic Projections'!$K17</f>
        <v>1320714121.7958782</v>
      </c>
      <c r="AD151" s="63">
        <f>AD$137*'Economic Projections'!$K17</f>
        <v>2483295609.6918545</v>
      </c>
      <c r="AE151" s="63">
        <f>AE$137*'Economic Projections'!$K17</f>
        <v>272377887.64082426</v>
      </c>
      <c r="AF151" s="63">
        <f>AF$137*'Economic Projections'!$K17</f>
        <v>414033367.93523055</v>
      </c>
      <c r="AG151" s="187">
        <f>AG$137*'Economic Projections'!$K17</f>
        <v>58534393.534838066</v>
      </c>
    </row>
    <row r="152" spans="1:34">
      <c r="A152" s="256"/>
      <c r="B152" s="257"/>
      <c r="C152" s="193">
        <v>2080</v>
      </c>
      <c r="D152" s="63">
        <f>D$137*'Economic Projections'!$H18</f>
        <v>2482957231.0502849</v>
      </c>
      <c r="E152" s="63">
        <f>E$137*'Economic Projections'!$H18</f>
        <v>1037284985.4537419</v>
      </c>
      <c r="F152" s="63">
        <f>F$137*'Economic Projections'!$H18</f>
        <v>1950373065.5002947</v>
      </c>
      <c r="G152" s="63">
        <f>G$137*'Economic Projections'!$H18</f>
        <v>213924791.56295425</v>
      </c>
      <c r="H152" s="63">
        <f>H$137*'Economic Projections'!$H18</f>
        <v>325180589.00746417</v>
      </c>
      <c r="I152" s="63">
        <f>I$137*'Economic Projections'!$H18</f>
        <v>45972740.462384604</v>
      </c>
      <c r="K152" s="193">
        <v>2080</v>
      </c>
      <c r="L152" s="63">
        <f>L$137*'Economic Projections'!$I18</f>
        <v>2073676722.9711349</v>
      </c>
      <c r="M152" s="63">
        <f>M$137*'Economic Projections'!$I18</f>
        <v>866303173.70106769</v>
      </c>
      <c r="N152" s="63">
        <f>N$137*'Economic Projections'!$I18</f>
        <v>1628881551.5871887</v>
      </c>
      <c r="O152" s="63">
        <f>O$137*'Economic Projections'!$I18</f>
        <v>178662304.44207197</v>
      </c>
      <c r="P152" s="63">
        <f>P$137*'Economic Projections'!$I18</f>
        <v>271579151.56741798</v>
      </c>
      <c r="Q152" s="187">
        <f>Q$137*'Economic Projections'!$I18</f>
        <v>38394782.075128511</v>
      </c>
      <c r="S152" s="193">
        <v>2080</v>
      </c>
      <c r="T152" s="63">
        <f>'Economic Projections'!$J18*T$137</f>
        <v>1208496656.8526695</v>
      </c>
      <c r="U152" s="63">
        <f>'Economic Projections'!$J18*U$137</f>
        <v>504863886.27566731</v>
      </c>
      <c r="V152" s="63">
        <f>'Economic Projections'!$J18*V$137</f>
        <v>949279069.24743319</v>
      </c>
      <c r="W152" s="63">
        <f>'Economic Projections'!$J18*W$137</f>
        <v>104120760.5949692</v>
      </c>
      <c r="X152" s="63">
        <f>'Economic Projections'!$J18*X$137</f>
        <v>158270811.02104723</v>
      </c>
      <c r="Y152" s="187">
        <f>'Economic Projections'!$J18*Y$137</f>
        <v>22375698.808008213</v>
      </c>
      <c r="AA152" s="193">
        <v>2080</v>
      </c>
      <c r="AB152" s="63">
        <f>AB$137*'Economic Projections'!$K18</f>
        <v>3864865703.1619234</v>
      </c>
      <c r="AC152" s="63">
        <f>AC$137*'Economic Projections'!$K18</f>
        <v>1614593724.9950931</v>
      </c>
      <c r="AD152" s="63">
        <f>AD$137*'Economic Projections'!$K18</f>
        <v>3035867825.2522078</v>
      </c>
      <c r="AE152" s="63">
        <f>AE$137*'Economic Projections'!$K18</f>
        <v>332986239.00098133</v>
      </c>
      <c r="AF152" s="63">
        <f>AF$137*'Economic Projections'!$K18</f>
        <v>506162285.06575072</v>
      </c>
      <c r="AG152" s="187">
        <f>AG$137*'Economic Projections'!$K18</f>
        <v>71559214.017664373</v>
      </c>
    </row>
    <row r="153" spans="1:34">
      <c r="A153" s="256"/>
      <c r="B153" s="257"/>
      <c r="C153" s="193">
        <v>2090</v>
      </c>
      <c r="D153" s="63">
        <f>D$137*'Economic Projections'!$H19</f>
        <v>2741270016.8980556</v>
      </c>
      <c r="E153" s="63">
        <f>E$137*'Economic Projections'!$H19</f>
        <v>1145198231.3847969</v>
      </c>
      <c r="F153" s="63">
        <f>F$137*'Economic Projections'!$H19</f>
        <v>2153278815.8255749</v>
      </c>
      <c r="G153" s="63">
        <f>G$137*'Economic Projections'!$H19</f>
        <v>236180313.39776078</v>
      </c>
      <c r="H153" s="63">
        <f>H$137*'Economic Projections'!$H19</f>
        <v>359010532.91455513</v>
      </c>
      <c r="I153" s="63">
        <f>I$137*'Economic Projections'!$H19</f>
        <v>50755483.601649977</v>
      </c>
      <c r="K153" s="193">
        <v>2090</v>
      </c>
      <c r="L153" s="63">
        <f>L$137*'Economic Projections'!$I19</f>
        <v>2417572310.1156583</v>
      </c>
      <c r="M153" s="63">
        <f>M$137*'Economic Projections'!$I19</f>
        <v>1009969655.2046263</v>
      </c>
      <c r="N153" s="63">
        <f>N$137*'Economic Projections'!$I19</f>
        <v>1899012942.5444839</v>
      </c>
      <c r="O153" s="63">
        <f>O$137*'Economic Projections'!$I19</f>
        <v>208291405.93416369</v>
      </c>
      <c r="P153" s="63">
        <f>P$137*'Economic Projections'!$I19</f>
        <v>316617450.32918149</v>
      </c>
      <c r="Q153" s="187">
        <f>Q$137*'Economic Projections'!$I19</f>
        <v>44762117.918149464</v>
      </c>
      <c r="S153" s="193">
        <v>2090</v>
      </c>
      <c r="T153" s="63">
        <f>'Economic Projections'!$J19*T$137</f>
        <v>1310810762.7908623</v>
      </c>
      <c r="U153" s="63">
        <f>'Economic Projections'!$J19*U$137</f>
        <v>547606823.83521557</v>
      </c>
      <c r="V153" s="63">
        <f>'Economic Projections'!$J19*V$137</f>
        <v>1029647218.1414784</v>
      </c>
      <c r="W153" s="63">
        <f>'Economic Projections'!$J19*W$137</f>
        <v>112935863.61529773</v>
      </c>
      <c r="X153" s="63">
        <f>'Economic Projections'!$J19*X$137</f>
        <v>171670381.82987681</v>
      </c>
      <c r="Y153" s="187">
        <f>'Economic Projections'!$J19*Y$137</f>
        <v>24270076.922587268</v>
      </c>
      <c r="AA153" s="193">
        <v>2090</v>
      </c>
      <c r="AB153" s="63">
        <f>AB$137*'Economic Projections'!$K19</f>
        <v>4604335687.1452398</v>
      </c>
      <c r="AC153" s="63">
        <f>AC$137*'Economic Projections'!$K19</f>
        <v>1923516126.8743865</v>
      </c>
      <c r="AD153" s="63">
        <f>AD$137*'Economic Projections'!$K19</f>
        <v>3616724523.6565256</v>
      </c>
      <c r="AE153" s="63">
        <f>AE$137*'Economic Projections'!$K19</f>
        <v>396696946.62512267</v>
      </c>
      <c r="AF153" s="63">
        <f>AF$137*'Economic Projections'!$K19</f>
        <v>603006999.88321877</v>
      </c>
      <c r="AG153" s="187">
        <f>AG$137*'Economic Projections'!$K19</f>
        <v>85250735.252208039</v>
      </c>
    </row>
    <row r="154" spans="1:34">
      <c r="A154" s="256"/>
      <c r="B154" s="257"/>
      <c r="C154" s="193">
        <v>2100</v>
      </c>
      <c r="D154" s="63">
        <f>D$137*'Economic Projections'!$H20</f>
        <v>2952839991.719996</v>
      </c>
      <c r="E154" s="63">
        <f>E$137*'Economic Projections'!$H20</f>
        <v>1233584110.7351208</v>
      </c>
      <c r="F154" s="63">
        <f>F$137*'Economic Projections'!$H20</f>
        <v>2319467896.8137889</v>
      </c>
      <c r="G154" s="63">
        <f>G$137*'Economic Projections'!$H20</f>
        <v>254408602.71292478</v>
      </c>
      <c r="H154" s="63">
        <f>H$137*'Economic Projections'!$H20</f>
        <v>386718802.78265566</v>
      </c>
      <c r="I154" s="63">
        <f>I$137*'Economic Projections'!$H20</f>
        <v>54672768.772932626</v>
      </c>
      <c r="K154" s="193">
        <v>2100</v>
      </c>
      <c r="L154" s="63">
        <f>L$137*'Economic Projections'!$I20</f>
        <v>2796214913.9374261</v>
      </c>
      <c r="M154" s="63">
        <f>M$137*'Economic Projections'!$I20</f>
        <v>1168152117.1841638</v>
      </c>
      <c r="N154" s="63">
        <f>N$137*'Economic Projections'!$I20</f>
        <v>2196438257.2900357</v>
      </c>
      <c r="O154" s="63">
        <f>O$137*'Economic Projections'!$I20</f>
        <v>240914215.17408067</v>
      </c>
      <c r="P154" s="63">
        <f>P$137*'Economic Projections'!$I20</f>
        <v>366206393.46293002</v>
      </c>
      <c r="Q154" s="187">
        <f>Q$137*'Economic Projections'!$I20</f>
        <v>51772805.79300119</v>
      </c>
      <c r="S154" s="193">
        <v>2100</v>
      </c>
      <c r="T154" s="188">
        <f>'Economic Projections'!$J20*T$137</f>
        <v>1427920558.5418892</v>
      </c>
      <c r="U154" s="188">
        <f>'Economic Projections'!$J20*U$137</f>
        <v>596530837.21047235</v>
      </c>
      <c r="V154" s="188">
        <f>'Economic Projections'!$J20*V$137</f>
        <v>1121637441.9289529</v>
      </c>
      <c r="W154" s="188">
        <f>'Economic Projections'!$J20*W$137</f>
        <v>123025722.72874744</v>
      </c>
      <c r="X154" s="188">
        <f>'Economic Projections'!$J20*X$137</f>
        <v>187007670.72258729</v>
      </c>
      <c r="Y154" s="189">
        <f>'Economic Projections'!$J20*Y$137</f>
        <v>26438401.925667353</v>
      </c>
      <c r="AA154" s="193">
        <v>2100</v>
      </c>
      <c r="AB154" s="63">
        <f>AB$137*'Economic Projections'!$K20</f>
        <v>5380335592.7085381</v>
      </c>
      <c r="AC154" s="63">
        <f>AC$137*'Economic Projections'!$K20</f>
        <v>2247699339.008832</v>
      </c>
      <c r="AD154" s="63">
        <f>AD$137*'Economic Projections'!$K20</f>
        <v>4226275624.9460254</v>
      </c>
      <c r="AE154" s="63">
        <f>AE$137*'Economic Projections'!$K20</f>
        <v>463554972.19823354</v>
      </c>
      <c r="AF154" s="63">
        <f>AF$137*'Economic Projections'!$K20</f>
        <v>704635857.28164864</v>
      </c>
      <c r="AG154" s="187">
        <f>AG$137*'Economic Projections'!$K20</f>
        <v>99618619.56820412</v>
      </c>
    </row>
    <row r="155" spans="1:34">
      <c r="A155" s="205"/>
      <c r="B155" s="205"/>
      <c r="C155" s="210" t="s">
        <v>88</v>
      </c>
      <c r="D155" s="264" t="s">
        <v>251</v>
      </c>
      <c r="E155" s="264"/>
      <c r="F155" s="264"/>
      <c r="G155" s="264"/>
      <c r="H155" s="264"/>
      <c r="I155" s="264"/>
      <c r="J155" s="212" t="s">
        <v>252</v>
      </c>
      <c r="K155" s="210" t="s">
        <v>88</v>
      </c>
      <c r="L155" s="273" t="s">
        <v>251</v>
      </c>
      <c r="M155" s="273"/>
      <c r="N155" s="273"/>
      <c r="O155" s="273"/>
      <c r="P155" s="273"/>
      <c r="Q155" s="273"/>
      <c r="R155" s="212" t="s">
        <v>252</v>
      </c>
      <c r="S155" s="210" t="s">
        <v>88</v>
      </c>
      <c r="T155" s="274" t="s">
        <v>251</v>
      </c>
      <c r="U155" s="274"/>
      <c r="V155" s="274"/>
      <c r="W155" s="274"/>
      <c r="X155" s="274"/>
      <c r="Y155" s="274"/>
      <c r="Z155" s="212" t="s">
        <v>252</v>
      </c>
      <c r="AA155" s="210" t="s">
        <v>88</v>
      </c>
      <c r="AB155" s="264" t="s">
        <v>251</v>
      </c>
      <c r="AC155" s="264"/>
      <c r="AD155" s="264"/>
      <c r="AE155" s="264"/>
      <c r="AF155" s="264"/>
      <c r="AG155" s="265"/>
      <c r="AH155" s="213" t="s">
        <v>252</v>
      </c>
    </row>
    <row r="156" spans="1:34">
      <c r="A156" s="256"/>
      <c r="B156" s="257"/>
      <c r="C156" s="193">
        <v>2020</v>
      </c>
      <c r="D156" s="63">
        <f>D4+D118+D80+D99</f>
        <v>253596677.72878584</v>
      </c>
      <c r="E156" s="63">
        <f t="shared" ref="E156:I156" si="56">E99+E80+E4+E118</f>
        <v>305855901.73355865</v>
      </c>
      <c r="F156" s="63">
        <f t="shared" si="56"/>
        <v>14810953.418947292</v>
      </c>
      <c r="G156" s="63">
        <f t="shared" si="56"/>
        <v>2420281.0841527674</v>
      </c>
      <c r="H156" s="63">
        <f t="shared" si="56"/>
        <v>5785678.7289674385</v>
      </c>
      <c r="I156" s="63">
        <f t="shared" si="56"/>
        <v>4617341.7925063036</v>
      </c>
      <c r="J156" s="201">
        <f t="shared" ref="J156:J173" si="57">SUM(D156:I156)/SUM(D137:I137)/1000</f>
        <v>4.5267115091401233E-4</v>
      </c>
      <c r="K156" s="193">
        <v>2020</v>
      </c>
      <c r="L156" s="199">
        <f t="shared" ref="L156:Q165" si="58">L99+L80+L4+L118</f>
        <v>253596677.72878587</v>
      </c>
      <c r="M156" s="199">
        <f t="shared" si="58"/>
        <v>305855901.73355865</v>
      </c>
      <c r="N156" s="199">
        <f t="shared" si="58"/>
        <v>14810953.418947292</v>
      </c>
      <c r="O156" s="199">
        <f t="shared" si="58"/>
        <v>2420281.0841527674</v>
      </c>
      <c r="P156" s="199">
        <f t="shared" si="58"/>
        <v>5785678.7289674385</v>
      </c>
      <c r="Q156" s="199">
        <f t="shared" si="58"/>
        <v>4617341.7925063036</v>
      </c>
      <c r="R156" s="201">
        <f t="shared" ref="R156:R173" si="59">SUM(L156:Q156)/SUM(L137:Q137)/1000</f>
        <v>4.5267115091401233E-4</v>
      </c>
      <c r="S156" s="193">
        <v>2020</v>
      </c>
      <c r="T156" s="63">
        <f t="shared" ref="T156:Y165" si="60">T99+T80+T4+T118</f>
        <v>253596677.72878587</v>
      </c>
      <c r="U156" s="63">
        <f t="shared" si="60"/>
        <v>305855901.73355865</v>
      </c>
      <c r="V156" s="63">
        <f t="shared" si="60"/>
        <v>14810953.418947292</v>
      </c>
      <c r="W156" s="63">
        <f t="shared" si="60"/>
        <v>2420281.0841527674</v>
      </c>
      <c r="X156" s="63">
        <f t="shared" si="60"/>
        <v>5785678.7289674385</v>
      </c>
      <c r="Y156" s="63">
        <f t="shared" si="60"/>
        <v>4617341.7925063036</v>
      </c>
      <c r="Z156" s="201">
        <f t="shared" ref="Z156:Z173" si="61">SUM(T156:Y156)/SUM(T137:Y137)/1000</f>
        <v>4.5267115091401233E-4</v>
      </c>
      <c r="AA156" s="193">
        <v>2020</v>
      </c>
      <c r="AB156" s="63">
        <f t="shared" ref="AB156:AG165" si="62">AB99+AB80+AB4+AB118</f>
        <v>253596677.72878587</v>
      </c>
      <c r="AC156" s="63">
        <f t="shared" si="62"/>
        <v>305855901.73355865</v>
      </c>
      <c r="AD156" s="63">
        <f t="shared" si="62"/>
        <v>14810953.418947292</v>
      </c>
      <c r="AE156" s="63">
        <f t="shared" si="62"/>
        <v>2420281.0841527674</v>
      </c>
      <c r="AF156" s="63">
        <f t="shared" si="62"/>
        <v>5785678.7289674385</v>
      </c>
      <c r="AG156" s="63">
        <f t="shared" si="62"/>
        <v>4617341.7925063036</v>
      </c>
      <c r="AH156" s="214">
        <f t="shared" ref="AH156:AH173" si="63">SUM(AB156:AG156)/SUM(AB137:AG137)/1000</f>
        <v>4.5267115091401233E-4</v>
      </c>
    </row>
    <row r="157" spans="1:34">
      <c r="A157" s="258"/>
      <c r="B157" s="259"/>
      <c r="C157" s="193">
        <v>2021</v>
      </c>
      <c r="D157" s="63">
        <f t="shared" ref="D157:I173" si="64">D100+D81+D5+D119</f>
        <v>269739868.87658268</v>
      </c>
      <c r="E157" s="63">
        <f t="shared" si="64"/>
        <v>325217363.75345623</v>
      </c>
      <c r="F157" s="63">
        <f t="shared" si="64"/>
        <v>15745101.734960729</v>
      </c>
      <c r="G157" s="63">
        <f t="shared" si="64"/>
        <v>2572802.9888249049</v>
      </c>
      <c r="H157" s="63">
        <f t="shared" si="64"/>
        <v>6154506.5791131714</v>
      </c>
      <c r="I157" s="63">
        <f t="shared" si="64"/>
        <v>4913022.9130504932</v>
      </c>
      <c r="J157" s="201">
        <f t="shared" si="57"/>
        <v>4.5713937447481684E-4</v>
      </c>
      <c r="K157" s="193">
        <v>2021</v>
      </c>
      <c r="L157" s="199">
        <f t="shared" si="58"/>
        <v>270818831.98102587</v>
      </c>
      <c r="M157" s="199">
        <f t="shared" si="58"/>
        <v>326480439.51250982</v>
      </c>
      <c r="N157" s="199">
        <f t="shared" si="58"/>
        <v>15805058.349362765</v>
      </c>
      <c r="O157" s="199">
        <f t="shared" si="58"/>
        <v>2582555.1864221822</v>
      </c>
      <c r="P157" s="199">
        <f t="shared" si="58"/>
        <v>6179309.2241455112</v>
      </c>
      <c r="Q157" s="199">
        <f t="shared" si="58"/>
        <v>4933287.1460706312</v>
      </c>
      <c r="R157" s="201">
        <f t="shared" si="59"/>
        <v>4.6414478123226751E-4</v>
      </c>
      <c r="S157" s="193">
        <v>2021</v>
      </c>
      <c r="T157" s="63">
        <f t="shared" si="60"/>
        <v>272869173.13948321</v>
      </c>
      <c r="U157" s="63">
        <f t="shared" si="60"/>
        <v>328918156.63486785</v>
      </c>
      <c r="V157" s="63">
        <f t="shared" si="60"/>
        <v>15921994.075076371</v>
      </c>
      <c r="W157" s="63">
        <f t="shared" si="60"/>
        <v>2601622.0988722467</v>
      </c>
      <c r="X157" s="63">
        <f t="shared" si="60"/>
        <v>6226258.2811055947</v>
      </c>
      <c r="Y157" s="63">
        <f t="shared" si="60"/>
        <v>4971187.6435159668</v>
      </c>
      <c r="Z157" s="201">
        <f t="shared" si="61"/>
        <v>4.7104501442047118E-4</v>
      </c>
      <c r="AA157" s="193">
        <v>2021</v>
      </c>
      <c r="AB157" s="63">
        <f t="shared" si="62"/>
        <v>273453252.98294878</v>
      </c>
      <c r="AC157" s="63">
        <f t="shared" si="62"/>
        <v>329689464.3762275</v>
      </c>
      <c r="AD157" s="63">
        <f t="shared" si="62"/>
        <v>15961455.931215573</v>
      </c>
      <c r="AE157" s="63">
        <f t="shared" si="62"/>
        <v>2608150.0365363108</v>
      </c>
      <c r="AF157" s="63">
        <f t="shared" si="62"/>
        <v>6239257.3180828691</v>
      </c>
      <c r="AG157" s="63">
        <f t="shared" si="62"/>
        <v>4980739.4626922533</v>
      </c>
      <c r="AH157" s="214">
        <f t="shared" si="63"/>
        <v>4.5922294508650582E-4</v>
      </c>
    </row>
    <row r="158" spans="1:34">
      <c r="A158" s="258"/>
      <c r="B158" s="259"/>
      <c r="C158" s="193">
        <v>2022</v>
      </c>
      <c r="D158" s="63">
        <f t="shared" si="64"/>
        <v>286841171.84268016</v>
      </c>
      <c r="E158" s="63">
        <f t="shared" si="64"/>
        <v>345721367.78311735</v>
      </c>
      <c r="F158" s="63">
        <f t="shared" si="64"/>
        <v>16734166.353829237</v>
      </c>
      <c r="G158" s="63">
        <f t="shared" si="64"/>
        <v>2734283.4008958819</v>
      </c>
      <c r="H158" s="63">
        <f t="shared" si="64"/>
        <v>6545256.778091901</v>
      </c>
      <c r="I158" s="63">
        <f t="shared" si="64"/>
        <v>5226359.4550097259</v>
      </c>
      <c r="J158" s="201">
        <f t="shared" si="57"/>
        <v>4.6271530162678539E-4</v>
      </c>
      <c r="K158" s="193">
        <v>2022</v>
      </c>
      <c r="L158" s="199">
        <f t="shared" si="58"/>
        <v>289119195.06418371</v>
      </c>
      <c r="M158" s="199">
        <f t="shared" si="58"/>
        <v>348386900.4202081</v>
      </c>
      <c r="N158" s="199">
        <f t="shared" si="58"/>
        <v>16860656.49108227</v>
      </c>
      <c r="O158" s="199">
        <f t="shared" si="58"/>
        <v>2754856.0489084525</v>
      </c>
      <c r="P158" s="199">
        <f t="shared" si="58"/>
        <v>6597628.6989392471</v>
      </c>
      <c r="Q158" s="199">
        <f t="shared" si="58"/>
        <v>5269163.0671107229</v>
      </c>
      <c r="R158" s="201">
        <f t="shared" si="59"/>
        <v>4.7650775000604364E-4</v>
      </c>
      <c r="S158" s="193">
        <v>2022</v>
      </c>
      <c r="T158" s="63">
        <f t="shared" si="60"/>
        <v>293458417.21268326</v>
      </c>
      <c r="U158" s="63">
        <f t="shared" si="60"/>
        <v>353543134.33211237</v>
      </c>
      <c r="V158" s="63">
        <f t="shared" si="60"/>
        <v>17107907.766001128</v>
      </c>
      <c r="W158" s="63">
        <f t="shared" si="60"/>
        <v>2795168.1008277251</v>
      </c>
      <c r="X158" s="63">
        <f t="shared" si="60"/>
        <v>6697002.6475344039</v>
      </c>
      <c r="Y158" s="63">
        <f t="shared" si="60"/>
        <v>5349418.9359633708</v>
      </c>
      <c r="Z158" s="201">
        <f t="shared" si="61"/>
        <v>4.9044076526590303E-4</v>
      </c>
      <c r="AA158" s="193">
        <v>2022</v>
      </c>
      <c r="AB158" s="63">
        <f t="shared" si="62"/>
        <v>294681958.04668045</v>
      </c>
      <c r="AC158" s="63">
        <f t="shared" si="62"/>
        <v>355160898.98776513</v>
      </c>
      <c r="AD158" s="63">
        <f t="shared" si="62"/>
        <v>17190734.411417607</v>
      </c>
      <c r="AE158" s="63">
        <f t="shared" si="62"/>
        <v>2808871.6841707616</v>
      </c>
      <c r="AF158" s="63">
        <f t="shared" si="62"/>
        <v>6724223.4212109568</v>
      </c>
      <c r="AG158" s="63">
        <f t="shared" si="62"/>
        <v>5369395.6189958658</v>
      </c>
      <c r="AH158" s="214">
        <f t="shared" si="63"/>
        <v>4.6720840384379759E-4</v>
      </c>
    </row>
    <row r="159" spans="1:34">
      <c r="A159" s="258"/>
      <c r="B159" s="259"/>
      <c r="C159" s="193">
        <v>2023</v>
      </c>
      <c r="D159" s="63">
        <f t="shared" si="64"/>
        <v>304954301.32050467</v>
      </c>
      <c r="E159" s="63">
        <f t="shared" si="64"/>
        <v>367431609.45317167</v>
      </c>
      <c r="F159" s="63">
        <f t="shared" si="64"/>
        <v>17781197.347881664</v>
      </c>
      <c r="G159" s="63">
        <f t="shared" si="64"/>
        <v>2905219.4450743375</v>
      </c>
      <c r="H159" s="63">
        <f t="shared" si="64"/>
        <v>6959160.1118093021</v>
      </c>
      <c r="I159" s="63">
        <f t="shared" si="64"/>
        <v>5558347.0455053346</v>
      </c>
      <c r="J159" s="201">
        <f t="shared" si="57"/>
        <v>4.6932874749253996E-4</v>
      </c>
      <c r="K159" s="193">
        <v>2023</v>
      </c>
      <c r="L159" s="199">
        <f t="shared" si="58"/>
        <v>308560919.04244518</v>
      </c>
      <c r="M159" s="199">
        <f t="shared" si="58"/>
        <v>371649848.85677493</v>
      </c>
      <c r="N159" s="199">
        <f t="shared" si="58"/>
        <v>17981308.020023622</v>
      </c>
      <c r="O159" s="199">
        <f t="shared" si="58"/>
        <v>2937763.5434183944</v>
      </c>
      <c r="P159" s="199">
        <f t="shared" si="58"/>
        <v>7042085.7544537466</v>
      </c>
      <c r="Q159" s="199">
        <f t="shared" si="58"/>
        <v>5626145.326271168</v>
      </c>
      <c r="R159" s="201">
        <f t="shared" si="59"/>
        <v>4.8976125132683913E-4</v>
      </c>
      <c r="S159" s="193">
        <v>2023</v>
      </c>
      <c r="T159" s="63">
        <f t="shared" si="60"/>
        <v>315446858.02114916</v>
      </c>
      <c r="U159" s="63">
        <f t="shared" si="60"/>
        <v>379827905.06985855</v>
      </c>
      <c r="V159" s="63">
        <f t="shared" si="60"/>
        <v>18373320.297571268</v>
      </c>
      <c r="W159" s="63">
        <f t="shared" si="60"/>
        <v>3001672.1876898124</v>
      </c>
      <c r="X159" s="63">
        <f t="shared" si="60"/>
        <v>7199804.4002830982</v>
      </c>
      <c r="Y159" s="63">
        <f t="shared" si="60"/>
        <v>5753575.183794993</v>
      </c>
      <c r="Z159" s="201">
        <f t="shared" si="61"/>
        <v>5.1089643593663569E-4</v>
      </c>
      <c r="AA159" s="193">
        <v>2023</v>
      </c>
      <c r="AB159" s="63">
        <f t="shared" si="62"/>
        <v>317368583.09533614</v>
      </c>
      <c r="AC159" s="63">
        <f t="shared" si="62"/>
        <v>382372018.47026533</v>
      </c>
      <c r="AD159" s="63">
        <f t="shared" si="62"/>
        <v>18503666.806383025</v>
      </c>
      <c r="AE159" s="63">
        <f t="shared" si="62"/>
        <v>3023241.1729115197</v>
      </c>
      <c r="AF159" s="63">
        <f t="shared" si="62"/>
        <v>7242542.3834318891</v>
      </c>
      <c r="AG159" s="63">
        <f t="shared" si="62"/>
        <v>5784899.0993940905</v>
      </c>
      <c r="AH159" s="214">
        <f t="shared" si="63"/>
        <v>4.76528258467191E-4</v>
      </c>
    </row>
    <row r="160" spans="1:34">
      <c r="A160" s="258"/>
      <c r="B160" s="259"/>
      <c r="C160" s="193">
        <v>2024</v>
      </c>
      <c r="D160" s="63">
        <f t="shared" si="64"/>
        <v>324135848.94819713</v>
      </c>
      <c r="E160" s="63">
        <f t="shared" si="64"/>
        <v>390415177.86742944</v>
      </c>
      <c r="F160" s="63">
        <f t="shared" si="64"/>
        <v>18889406.706604596</v>
      </c>
      <c r="G160" s="63">
        <f t="shared" si="64"/>
        <v>3086134.6145503707</v>
      </c>
      <c r="H160" s="63">
        <f t="shared" si="64"/>
        <v>7397513.3748497851</v>
      </c>
      <c r="I160" s="63">
        <f t="shared" si="64"/>
        <v>5910034.9294374762</v>
      </c>
      <c r="J160" s="201">
        <f t="shared" si="57"/>
        <v>4.7692600012466056E-4</v>
      </c>
      <c r="K160" s="193">
        <v>2024</v>
      </c>
      <c r="L160" s="199">
        <f t="shared" si="58"/>
        <v>329210662.88013959</v>
      </c>
      <c r="M160" s="199">
        <f t="shared" si="58"/>
        <v>396347963.49337363</v>
      </c>
      <c r="N160" s="199">
        <f t="shared" si="58"/>
        <v>19170768.702840708</v>
      </c>
      <c r="O160" s="199">
        <f t="shared" si="58"/>
        <v>3131889.3666042928</v>
      </c>
      <c r="P160" s="199">
        <f t="shared" si="58"/>
        <v>7514209.562860636</v>
      </c>
      <c r="Q160" s="199">
        <f t="shared" si="58"/>
        <v>6005475.4129551295</v>
      </c>
      <c r="R160" s="201">
        <f t="shared" si="59"/>
        <v>5.0391160148161962E-4</v>
      </c>
      <c r="S160" s="193">
        <v>2024</v>
      </c>
      <c r="T160" s="63">
        <f t="shared" si="60"/>
        <v>338921764.92622709</v>
      </c>
      <c r="U160" s="63">
        <f t="shared" si="60"/>
        <v>407875174.3862434</v>
      </c>
      <c r="V160" s="63">
        <f t="shared" si="60"/>
        <v>19723124.693105407</v>
      </c>
      <c r="W160" s="63">
        <f t="shared" si="60"/>
        <v>3221930.9103331459</v>
      </c>
      <c r="X160" s="63">
        <f t="shared" si="60"/>
        <v>7736666.9831039561</v>
      </c>
      <c r="Y160" s="63">
        <f t="shared" si="60"/>
        <v>6185286.5913526015</v>
      </c>
      <c r="Z160" s="201">
        <f t="shared" si="61"/>
        <v>5.3245299304156542E-4</v>
      </c>
      <c r="AA160" s="193">
        <v>2024</v>
      </c>
      <c r="AB160" s="63">
        <f t="shared" si="62"/>
        <v>341603896.76759362</v>
      </c>
      <c r="AC160" s="63">
        <f t="shared" si="62"/>
        <v>411430510.97274178</v>
      </c>
      <c r="AD160" s="63">
        <f t="shared" si="62"/>
        <v>19905411.491330311</v>
      </c>
      <c r="AE160" s="63">
        <f t="shared" si="62"/>
        <v>3252099.3204810112</v>
      </c>
      <c r="AF160" s="63">
        <f t="shared" si="62"/>
        <v>7796293.7614023145</v>
      </c>
      <c r="AG160" s="63">
        <f t="shared" si="62"/>
        <v>6228931.4780378584</v>
      </c>
      <c r="AH160" s="214">
        <f t="shared" si="63"/>
        <v>4.8711016603222987E-4</v>
      </c>
    </row>
    <row r="161" spans="1:34">
      <c r="A161" s="258"/>
      <c r="B161" s="259"/>
      <c r="C161" s="193">
        <v>2025</v>
      </c>
      <c r="D161" s="63">
        <f t="shared" si="64"/>
        <v>344445431.81435561</v>
      </c>
      <c r="E161" s="63">
        <f t="shared" si="64"/>
        <v>414742729.91303456</v>
      </c>
      <c r="F161" s="63">
        <f t="shared" si="64"/>
        <v>20062176.626009509</v>
      </c>
      <c r="G161" s="63">
        <f t="shared" si="64"/>
        <v>3277580.1198749612</v>
      </c>
      <c r="H161" s="63">
        <f t="shared" si="64"/>
        <v>7861682.7819861472</v>
      </c>
      <c r="I161" s="63">
        <f t="shared" si="64"/>
        <v>6282528.7510953117</v>
      </c>
      <c r="J161" s="201">
        <f t="shared" si="57"/>
        <v>4.8546657271040714E-4</v>
      </c>
      <c r="K161" s="193">
        <v>2025</v>
      </c>
      <c r="L161" s="199">
        <f t="shared" si="58"/>
        <v>351138779.01505506</v>
      </c>
      <c r="M161" s="199">
        <f t="shared" si="58"/>
        <v>422564254.90275037</v>
      </c>
      <c r="N161" s="199">
        <f t="shared" si="58"/>
        <v>20433000.202214018</v>
      </c>
      <c r="O161" s="199">
        <f t="shared" si="58"/>
        <v>3337878.7151902434</v>
      </c>
      <c r="P161" s="199">
        <f t="shared" si="58"/>
        <v>8015614.1600538222</v>
      </c>
      <c r="Q161" s="199">
        <f t="shared" si="58"/>
        <v>6408464.0520175369</v>
      </c>
      <c r="R161" s="201">
        <f t="shared" si="59"/>
        <v>5.1896963413001779E-4</v>
      </c>
      <c r="S161" s="193">
        <v>2025</v>
      </c>
      <c r="T161" s="63">
        <f t="shared" si="60"/>
        <v>363975495.76823252</v>
      </c>
      <c r="U161" s="63">
        <f t="shared" si="60"/>
        <v>437793593.42136693</v>
      </c>
      <c r="V161" s="63">
        <f t="shared" si="60"/>
        <v>21162495.84281534</v>
      </c>
      <c r="W161" s="63">
        <f t="shared" si="60"/>
        <v>3456786.6525379755</v>
      </c>
      <c r="X161" s="63">
        <f t="shared" si="60"/>
        <v>8309710.8655896597</v>
      </c>
      <c r="Y161" s="63">
        <f t="shared" si="60"/>
        <v>6646279.1116098985</v>
      </c>
      <c r="Z161" s="201">
        <f t="shared" si="61"/>
        <v>5.5515431383035686E-4</v>
      </c>
      <c r="AA161" s="193">
        <v>2025</v>
      </c>
      <c r="AB161" s="63">
        <f t="shared" si="62"/>
        <v>367483919.25747794</v>
      </c>
      <c r="AC161" s="63">
        <f t="shared" si="62"/>
        <v>442450260.50013459</v>
      </c>
      <c r="AD161" s="63">
        <f t="shared" si="62"/>
        <v>21401422.518606339</v>
      </c>
      <c r="AE161" s="63">
        <f t="shared" si="62"/>
        <v>3496335.0978854466</v>
      </c>
      <c r="AF161" s="63">
        <f t="shared" si="62"/>
        <v>8387677.5965765612</v>
      </c>
      <c r="AG161" s="63">
        <f t="shared" si="62"/>
        <v>6703272.1794020711</v>
      </c>
      <c r="AH161" s="214">
        <f t="shared" si="63"/>
        <v>4.9890264781357011E-4</v>
      </c>
    </row>
    <row r="162" spans="1:34">
      <c r="A162" s="258"/>
      <c r="B162" s="259"/>
      <c r="C162" s="193">
        <v>2026</v>
      </c>
      <c r="D162" s="63">
        <f t="shared" si="64"/>
        <v>365945848.40129995</v>
      </c>
      <c r="E162" s="63">
        <f t="shared" si="64"/>
        <v>440488673.26124024</v>
      </c>
      <c r="F162" s="63">
        <f t="shared" si="64"/>
        <v>21303068.210011285</v>
      </c>
      <c r="G162" s="63">
        <f>G105+G86+G10+G124</f>
        <v>3480136.3048347905</v>
      </c>
      <c r="H162" s="63">
        <f>H105+H86+H10+H124</f>
        <v>8353107.5507374248</v>
      </c>
      <c r="I162" s="63">
        <f t="shared" si="64"/>
        <v>6676993.4757123953</v>
      </c>
      <c r="J162" s="201">
        <f t="shared" si="57"/>
        <v>4.9492075000189201E-4</v>
      </c>
      <c r="K162" s="193">
        <v>2026</v>
      </c>
      <c r="L162" s="199">
        <f t="shared" si="58"/>
        <v>374419509.51747084</v>
      </c>
      <c r="M162" s="199">
        <f t="shared" si="58"/>
        <v>450386294.31383991</v>
      </c>
      <c r="N162" s="199">
        <f t="shared" si="58"/>
        <v>21772180.907019202</v>
      </c>
      <c r="O162" s="199">
        <f t="shared" si="58"/>
        <v>3556412.0464506489</v>
      </c>
      <c r="P162" s="199">
        <f t="shared" si="58"/>
        <v>8548002.9591319449</v>
      </c>
      <c r="Q162" s="199">
        <f t="shared" si="58"/>
        <v>6836494.9020659616</v>
      </c>
      <c r="R162" s="201">
        <f t="shared" si="59"/>
        <v>5.3495022890580031E-4</v>
      </c>
      <c r="S162" s="193">
        <v>2026</v>
      </c>
      <c r="T162" s="63">
        <f t="shared" si="60"/>
        <v>390705778.24373323</v>
      </c>
      <c r="U162" s="63">
        <f t="shared" si="60"/>
        <v>469698085.61009604</v>
      </c>
      <c r="V162" s="63">
        <f t="shared" si="60"/>
        <v>22696905.923711956</v>
      </c>
      <c r="W162" s="63">
        <f t="shared" si="60"/>
        <v>3707130.1357351034</v>
      </c>
      <c r="X162" s="63">
        <f t="shared" si="60"/>
        <v>8921180.0245019626</v>
      </c>
      <c r="Y162" s="63">
        <f t="shared" si="60"/>
        <v>7138379.7744724778</v>
      </c>
      <c r="Z162" s="201">
        <f t="shared" si="61"/>
        <v>5.7904718722577358E-4</v>
      </c>
      <c r="AA162" s="193">
        <v>2026</v>
      </c>
      <c r="AB162" s="63">
        <f t="shared" si="62"/>
        <v>395110209.74772698</v>
      </c>
      <c r="AC162" s="63">
        <f t="shared" si="62"/>
        <v>475551684.27890778</v>
      </c>
      <c r="AD162" s="63">
        <f t="shared" si="62"/>
        <v>22997465.660800859</v>
      </c>
      <c r="AE162" s="63">
        <f t="shared" si="62"/>
        <v>3756888.2400001865</v>
      </c>
      <c r="AF162" s="63">
        <f t="shared" si="62"/>
        <v>9019021.0182551574</v>
      </c>
      <c r="AG162" s="63">
        <f t="shared" si="62"/>
        <v>7209803.8623005925</v>
      </c>
      <c r="AH162" s="214">
        <f t="shared" si="63"/>
        <v>5.1187070313616159E-4</v>
      </c>
    </row>
    <row r="163" spans="1:34">
      <c r="A163" s="258"/>
      <c r="B163" s="259"/>
      <c r="C163" s="193">
        <v>2027</v>
      </c>
      <c r="D163" s="63">
        <f>D106+D87+D11+D125</f>
        <v>388703242.32911223</v>
      </c>
      <c r="E163" s="63">
        <f t="shared" si="64"/>
        <v>467731358.48151815</v>
      </c>
      <c r="F163" s="63">
        <f t="shared" si="64"/>
        <v>22615830.603801575</v>
      </c>
      <c r="G163" s="63">
        <f t="shared" si="64"/>
        <v>3694414.1325696991</v>
      </c>
      <c r="H163" s="63">
        <f t="shared" si="64"/>
        <v>8873303.6633374691</v>
      </c>
      <c r="I163" s="63">
        <f t="shared" si="64"/>
        <v>7094656.4578305082</v>
      </c>
      <c r="J163" s="201">
        <f t="shared" si="57"/>
        <v>5.0526771432358791E-4</v>
      </c>
      <c r="K163" s="193">
        <v>2027</v>
      </c>
      <c r="L163" s="199">
        <f t="shared" si="58"/>
        <v>399131192.31340945</v>
      </c>
      <c r="M163" s="199">
        <f t="shared" si="58"/>
        <v>479906454.04319835</v>
      </c>
      <c r="N163" s="199">
        <f t="shared" si="58"/>
        <v>23192717.313372385</v>
      </c>
      <c r="O163" s="199">
        <f t="shared" si="58"/>
        <v>3788206.928160389</v>
      </c>
      <c r="P163" s="199">
        <f t="shared" si="58"/>
        <v>9113173.4957432915</v>
      </c>
      <c r="Q163" s="199">
        <f t="shared" si="58"/>
        <v>7291028.4444757849</v>
      </c>
      <c r="R163" s="201">
        <f t="shared" si="59"/>
        <v>5.5187194419460521E-4</v>
      </c>
      <c r="S163" s="193">
        <v>2027</v>
      </c>
      <c r="T163" s="63">
        <f t="shared" si="60"/>
        <v>419216006.19731283</v>
      </c>
      <c r="U163" s="63">
        <f t="shared" si="60"/>
        <v>503710190.59547347</v>
      </c>
      <c r="V163" s="63">
        <f t="shared" si="60"/>
        <v>24332140.629180137</v>
      </c>
      <c r="W163" s="63">
        <f t="shared" si="60"/>
        <v>3973903.0551487422</v>
      </c>
      <c r="X163" s="63">
        <f t="shared" si="60"/>
        <v>9573448.7691128459</v>
      </c>
      <c r="Y163" s="63">
        <f t="shared" si="60"/>
        <v>7663522.2990577361</v>
      </c>
      <c r="Z163" s="201">
        <f t="shared" si="61"/>
        <v>6.0418133571348562E-4</v>
      </c>
      <c r="AA163" s="193">
        <v>2027</v>
      </c>
      <c r="AB163" s="63">
        <f t="shared" si="62"/>
        <v>424590168.91199899</v>
      </c>
      <c r="AC163" s="63">
        <f t="shared" si="62"/>
        <v>510862087.72557634</v>
      </c>
      <c r="AD163" s="63">
        <f t="shared" si="62"/>
        <v>24699635.2882386</v>
      </c>
      <c r="AE163" s="63">
        <f t="shared" si="62"/>
        <v>4034751.9918236639</v>
      </c>
      <c r="AF163" s="63">
        <f t="shared" si="62"/>
        <v>9692785.1932098251</v>
      </c>
      <c r="AG163" s="63">
        <f t="shared" si="62"/>
        <v>7750518.0875152145</v>
      </c>
      <c r="AH163" s="214">
        <f t="shared" si="63"/>
        <v>5.2599258845649206E-4</v>
      </c>
    </row>
    <row r="164" spans="1:34">
      <c r="A164" s="258"/>
      <c r="B164" s="259"/>
      <c r="C164" s="193">
        <v>2028</v>
      </c>
      <c r="D164" s="63">
        <f t="shared" si="64"/>
        <v>412787274.28106809</v>
      </c>
      <c r="E164" s="63">
        <f t="shared" si="64"/>
        <v>496553280.71184433</v>
      </c>
      <c r="F164" s="63">
        <f t="shared" si="64"/>
        <v>24004410.580149591</v>
      </c>
      <c r="G164" s="63">
        <f t="shared" si="64"/>
        <v>3921056.7453341386</v>
      </c>
      <c r="H164" s="63">
        <f t="shared" si="64"/>
        <v>9423867.8168770205</v>
      </c>
      <c r="I164" s="63">
        <f t="shared" si="64"/>
        <v>7536810.6636644825</v>
      </c>
      <c r="J164" s="201">
        <f t="shared" si="57"/>
        <v>5.164941004967994E-4</v>
      </c>
      <c r="K164" s="193">
        <v>2028</v>
      </c>
      <c r="L164" s="199">
        <f t="shared" si="58"/>
        <v>425356477.97393334</v>
      </c>
      <c r="M164" s="199">
        <f t="shared" si="58"/>
        <v>511222160.18284935</v>
      </c>
      <c r="N164" s="199">
        <f t="shared" si="58"/>
        <v>24699255.983808167</v>
      </c>
      <c r="O164" s="199">
        <f t="shared" si="58"/>
        <v>4034019.9824401839</v>
      </c>
      <c r="P164" s="199">
        <f t="shared" si="58"/>
        <v>9713022.4168671779</v>
      </c>
      <c r="Q164" s="199">
        <f t="shared" si="58"/>
        <v>7773606.0726718782</v>
      </c>
      <c r="R164" s="201">
        <f t="shared" si="59"/>
        <v>5.6975673212765921E-4</v>
      </c>
      <c r="S164" s="193">
        <v>2028</v>
      </c>
      <c r="T164" s="63">
        <f t="shared" si="60"/>
        <v>449615551.59165519</v>
      </c>
      <c r="U164" s="63">
        <f t="shared" si="60"/>
        <v>539958426.24041259</v>
      </c>
      <c r="V164" s="63">
        <f t="shared" si="60"/>
        <v>26074316.249348238</v>
      </c>
      <c r="W164" s="63">
        <f t="shared" si="60"/>
        <v>4258100.8540059933</v>
      </c>
      <c r="X164" s="63">
        <f t="shared" si="60"/>
        <v>10269028.928197512</v>
      </c>
      <c r="Y164" s="63">
        <f t="shared" si="60"/>
        <v>8223753.0045676995</v>
      </c>
      <c r="Z164" s="201">
        <f t="shared" si="61"/>
        <v>6.3060945525880718E-4</v>
      </c>
      <c r="AA164" s="193">
        <v>2028</v>
      </c>
      <c r="AB164" s="63">
        <f t="shared" si="62"/>
        <v>456037357.24928987</v>
      </c>
      <c r="AC164" s="63">
        <f t="shared" si="62"/>
        <v>548516037.90607679</v>
      </c>
      <c r="AD164" s="63">
        <f t="shared" si="62"/>
        <v>26514372.122810725</v>
      </c>
      <c r="AE164" s="63">
        <f t="shared" si="62"/>
        <v>4330975.9972180184</v>
      </c>
      <c r="AF164" s="63">
        <f t="shared" si="62"/>
        <v>10411572.639460847</v>
      </c>
      <c r="AG164" s="63">
        <f t="shared" si="62"/>
        <v>8327521.2834682912</v>
      </c>
      <c r="AH164" s="214">
        <f t="shared" si="63"/>
        <v>5.4125742194933188E-4</v>
      </c>
    </row>
    <row r="165" spans="1:34">
      <c r="A165" s="258"/>
      <c r="B165" s="259"/>
      <c r="C165" s="193">
        <v>2029</v>
      </c>
      <c r="D165" s="63">
        <f t="shared" si="64"/>
        <v>438271302.5092662</v>
      </c>
      <c r="E165" s="63">
        <f t="shared" si="64"/>
        <v>527041291.34908617</v>
      </c>
      <c r="F165" s="63">
        <f t="shared" si="64"/>
        <v>25472962.600556806</v>
      </c>
      <c r="G165" s="63">
        <f t="shared" si="64"/>
        <v>4160741.1014654292</v>
      </c>
      <c r="H165" s="63">
        <f t="shared" si="64"/>
        <v>10006481.570801089</v>
      </c>
      <c r="I165" s="63">
        <f t="shared" si="64"/>
        <v>8004818.0550055038</v>
      </c>
      <c r="J165" s="201">
        <f t="shared" si="57"/>
        <v>5.285928723275221E-4</v>
      </c>
      <c r="K165" s="193">
        <v>2029</v>
      </c>
      <c r="L165" s="199">
        <f t="shared" si="58"/>
        <v>453182557.5967375</v>
      </c>
      <c r="M165" s="199">
        <f t="shared" si="58"/>
        <v>544436158.15223432</v>
      </c>
      <c r="N165" s="199">
        <f t="shared" si="58"/>
        <v>26296696.113165002</v>
      </c>
      <c r="O165" s="199">
        <f t="shared" si="58"/>
        <v>4294648.9281344768</v>
      </c>
      <c r="P165" s="199">
        <f t="shared" si="58"/>
        <v>10349550.725169882</v>
      </c>
      <c r="Q165" s="199">
        <f t="shared" si="58"/>
        <v>8285854.3916958459</v>
      </c>
      <c r="R165" s="201">
        <f t="shared" si="59"/>
        <v>5.8862971914718832E-4</v>
      </c>
      <c r="S165" s="193">
        <v>2029</v>
      </c>
      <c r="T165" s="63">
        <f t="shared" si="60"/>
        <v>482020092.95782</v>
      </c>
      <c r="U165" s="63">
        <f t="shared" si="60"/>
        <v>578578669.65888143</v>
      </c>
      <c r="V165" s="63">
        <f t="shared" si="60"/>
        <v>27929897.645411208</v>
      </c>
      <c r="W165" s="63">
        <f t="shared" si="60"/>
        <v>4560775.6428110367</v>
      </c>
      <c r="X165" s="63">
        <f t="shared" si="60"/>
        <v>11010577.417197609</v>
      </c>
      <c r="Y165" s="63">
        <f t="shared" si="60"/>
        <v>8821237.0350983217</v>
      </c>
      <c r="Z165" s="201">
        <f t="shared" si="61"/>
        <v>6.5838727105603035E-4</v>
      </c>
      <c r="AA165" s="193">
        <v>2029</v>
      </c>
      <c r="AB165" s="63">
        <f t="shared" si="62"/>
        <v>489571830.05154598</v>
      </c>
      <c r="AC165" s="63">
        <f t="shared" si="62"/>
        <v>588655756.41746819</v>
      </c>
      <c r="AD165" s="63">
        <f t="shared" si="62"/>
        <v>28448481.912161607</v>
      </c>
      <c r="AE165" s="63">
        <f t="shared" si="62"/>
        <v>4646669.3372880984</v>
      </c>
      <c r="AF165" s="63">
        <f t="shared" si="62"/>
        <v>11178134.922649531</v>
      </c>
      <c r="AG165" s="63">
        <f t="shared" si="62"/>
        <v>8943041.0250823945</v>
      </c>
      <c r="AH165" s="214">
        <f t="shared" si="63"/>
        <v>5.5766338286111707E-4</v>
      </c>
    </row>
    <row r="166" spans="1:34">
      <c r="A166" s="258"/>
      <c r="B166" s="259"/>
      <c r="C166" s="193">
        <v>2030</v>
      </c>
      <c r="D166" s="63">
        <f t="shared" si="64"/>
        <v>465232572.3382988</v>
      </c>
      <c r="E166" s="63">
        <f t="shared" si="64"/>
        <v>559286820.2454809</v>
      </c>
      <c r="F166" s="63">
        <f t="shared" si="64"/>
        <v>27025859.374232445</v>
      </c>
      <c r="G166" s="63">
        <f t="shared" si="64"/>
        <v>4414179.6932905009</v>
      </c>
      <c r="H166" s="63">
        <f t="shared" si="64"/>
        <v>10622915.701382244</v>
      </c>
      <c r="I166" s="63">
        <f t="shared" si="64"/>
        <v>8500113.1425615884</v>
      </c>
      <c r="J166" s="201">
        <f t="shared" si="57"/>
        <v>5.4156244309965179E-4</v>
      </c>
      <c r="K166" s="193">
        <v>2030</v>
      </c>
      <c r="L166" s="199">
        <f t="shared" ref="L166:Q173" si="65">L109+L90+L14+L128</f>
        <v>482701402.33188576</v>
      </c>
      <c r="M166" s="199">
        <f t="shared" si="65"/>
        <v>579656791.75139499</v>
      </c>
      <c r="N166" s="199">
        <f t="shared" si="65"/>
        <v>27990202.73113203</v>
      </c>
      <c r="O166" s="199">
        <f t="shared" si="65"/>
        <v>4570934.7265829295</v>
      </c>
      <c r="P166" s="199">
        <f t="shared" si="65"/>
        <v>11024869.291664084</v>
      </c>
      <c r="Q166" s="199">
        <f t="shared" si="65"/>
        <v>8829489.7385671549</v>
      </c>
      <c r="R166" s="201">
        <f t="shared" si="59"/>
        <v>6.0851903941941149E-4</v>
      </c>
      <c r="S166" s="193">
        <v>2030</v>
      </c>
      <c r="T166" s="63">
        <f t="shared" ref="T166:Y173" si="66">T109+T90+T14+T128</f>
        <v>516551961.16745538</v>
      </c>
      <c r="U166" s="63">
        <f t="shared" si="66"/>
        <v>619714558.23338103</v>
      </c>
      <c r="V166" s="63">
        <f t="shared" si="66"/>
        <v>29905717.163196087</v>
      </c>
      <c r="W166" s="63">
        <f t="shared" si="66"/>
        <v>4883039.271027334</v>
      </c>
      <c r="X166" s="63">
        <f t="shared" si="66"/>
        <v>11800904.20499499</v>
      </c>
      <c r="Y166" s="63">
        <f t="shared" si="66"/>
        <v>9458264.9144948702</v>
      </c>
      <c r="Z166" s="201">
        <f t="shared" si="61"/>
        <v>6.8757360741025157E-4</v>
      </c>
      <c r="AA166" s="193">
        <v>2030</v>
      </c>
      <c r="AB166" s="63">
        <f t="shared" ref="AB166:AG173" si="67">AB109+AB90+AB14+AB128</f>
        <v>525320489.84487396</v>
      </c>
      <c r="AC166" s="63">
        <f t="shared" si="67"/>
        <v>631431532.66911924</v>
      </c>
      <c r="AD166" s="63">
        <f t="shared" si="67"/>
        <v>30509155.070398614</v>
      </c>
      <c r="AE166" s="63">
        <f t="shared" si="67"/>
        <v>4983003.7258999087</v>
      </c>
      <c r="AF166" s="63">
        <f t="shared" si="67"/>
        <v>11995380.754357036</v>
      </c>
      <c r="AG166" s="63">
        <f t="shared" si="67"/>
        <v>9599432.6417185608</v>
      </c>
      <c r="AH166" s="214">
        <f t="shared" si="63"/>
        <v>5.7521634607555735E-4</v>
      </c>
    </row>
    <row r="167" spans="1:34">
      <c r="A167" s="258"/>
      <c r="B167" s="259"/>
      <c r="C167" s="193">
        <v>2040</v>
      </c>
      <c r="D167" s="63">
        <f t="shared" si="64"/>
        <v>791514830.52801955</v>
      </c>
      <c r="E167" s="63">
        <f t="shared" si="64"/>
        <v>949515742.95844746</v>
      </c>
      <c r="F167" s="63">
        <f t="shared" si="64"/>
        <v>45818614.039830163</v>
      </c>
      <c r="G167" s="63">
        <f t="shared" si="64"/>
        <v>7481224.4828425813</v>
      </c>
      <c r="H167" s="63">
        <f t="shared" si="64"/>
        <v>18082946.178788036</v>
      </c>
      <c r="I167" s="63">
        <f t="shared" si="64"/>
        <v>14494164.712129667</v>
      </c>
      <c r="J167" s="201">
        <f t="shared" si="57"/>
        <v>6.4259292950724287E-4</v>
      </c>
      <c r="K167" s="193">
        <v>2040</v>
      </c>
      <c r="L167" s="199">
        <f t="shared" si="65"/>
        <v>890639102.62022519</v>
      </c>
      <c r="M167" s="199">
        <f t="shared" si="65"/>
        <v>1066023025.5587754</v>
      </c>
      <c r="N167" s="199">
        <f t="shared" si="65"/>
        <v>51364313.782737657</v>
      </c>
      <c r="O167" s="199">
        <f t="shared" si="65"/>
        <v>8383840.9898895388</v>
      </c>
      <c r="P167" s="199">
        <f t="shared" si="65"/>
        <v>20359275.867493559</v>
      </c>
      <c r="Q167" s="199">
        <f t="shared" si="65"/>
        <v>16348250.459301842</v>
      </c>
      <c r="R167" s="201">
        <f t="shared" si="59"/>
        <v>8.6380728522671602E-4</v>
      </c>
      <c r="S167" s="193">
        <v>2040</v>
      </c>
      <c r="T167" s="63">
        <f t="shared" si="66"/>
        <v>1030445413.2907516</v>
      </c>
      <c r="U167" s="63">
        <f t="shared" si="66"/>
        <v>1230737154.4639196</v>
      </c>
      <c r="V167" s="63">
        <f t="shared" si="66"/>
        <v>59217296.205482103</v>
      </c>
      <c r="W167" s="63">
        <f t="shared" si="66"/>
        <v>9662474.4022908155</v>
      </c>
      <c r="X167" s="63">
        <f t="shared" si="66"/>
        <v>23567937.45446327</v>
      </c>
      <c r="Y167" s="63">
        <f t="shared" si="66"/>
        <v>18956955.296621233</v>
      </c>
      <c r="Z167" s="201">
        <f t="shared" si="61"/>
        <v>1.1617727995050339E-3</v>
      </c>
      <c r="AA167" s="193">
        <v>2040</v>
      </c>
      <c r="AB167" s="63">
        <f t="shared" si="67"/>
        <v>1152064691.2715082</v>
      </c>
      <c r="AC167" s="63">
        <f t="shared" si="67"/>
        <v>1381661270.4009011</v>
      </c>
      <c r="AD167" s="63">
        <f t="shared" si="67"/>
        <v>66659713.947525494</v>
      </c>
      <c r="AE167" s="63">
        <f t="shared" si="67"/>
        <v>10883690.215622567</v>
      </c>
      <c r="AF167" s="63">
        <f t="shared" si="67"/>
        <v>26321906.727031454</v>
      </c>
      <c r="AG167" s="63">
        <f t="shared" si="67"/>
        <v>21102629.016083404</v>
      </c>
      <c r="AH167" s="214">
        <f t="shared" si="63"/>
        <v>8.0281542313826088E-4</v>
      </c>
    </row>
    <row r="168" spans="1:34">
      <c r="A168" s="258"/>
      <c r="B168" s="259"/>
      <c r="C168" s="193">
        <v>2050</v>
      </c>
      <c r="D168" s="63">
        <f t="shared" si="64"/>
        <v>1242532328.2966981</v>
      </c>
      <c r="E168" s="63">
        <f t="shared" si="64"/>
        <v>1489261264.7167277</v>
      </c>
      <c r="F168" s="63">
        <f t="shared" si="64"/>
        <v>71822500.748380154</v>
      </c>
      <c r="G168" s="63">
        <f t="shared" si="64"/>
        <v>11725555.302805787</v>
      </c>
      <c r="H168" s="63">
        <f t="shared" si="64"/>
        <v>28393254.203075942</v>
      </c>
      <c r="I168" s="63">
        <f t="shared" si="64"/>
        <v>22774271.570769422</v>
      </c>
      <c r="J168" s="201">
        <f t="shared" si="57"/>
        <v>7.7254968595196654E-4</v>
      </c>
      <c r="K168" s="193">
        <v>2050</v>
      </c>
      <c r="L168" s="199">
        <f t="shared" si="65"/>
        <v>1562936012.8564663</v>
      </c>
      <c r="M168" s="199">
        <f t="shared" si="65"/>
        <v>1866534141.3827059</v>
      </c>
      <c r="N168" s="199">
        <f t="shared" si="65"/>
        <v>89802616.10744828</v>
      </c>
      <c r="O168" s="199">
        <f t="shared" si="65"/>
        <v>14652838.477882368</v>
      </c>
      <c r="P168" s="199">
        <f t="shared" si="65"/>
        <v>35747807.028002158</v>
      </c>
      <c r="Q168" s="199">
        <f t="shared" si="65"/>
        <v>28756280.330601141</v>
      </c>
      <c r="R168" s="201">
        <f t="shared" si="59"/>
        <v>1.2193148580915845E-3</v>
      </c>
      <c r="S168" s="193">
        <v>2050</v>
      </c>
      <c r="T168" s="63">
        <f t="shared" si="66"/>
        <v>1989404018.1683753</v>
      </c>
      <c r="U168" s="63">
        <f t="shared" si="66"/>
        <v>2366999819.1287627</v>
      </c>
      <c r="V168" s="63">
        <f t="shared" si="66"/>
        <v>113598973.31365621</v>
      </c>
      <c r="W168" s="63">
        <f t="shared" si="66"/>
        <v>18524947.021239225</v>
      </c>
      <c r="X168" s="63">
        <f t="shared" si="66"/>
        <v>45545248.077896208</v>
      </c>
      <c r="Y168" s="63">
        <f t="shared" si="66"/>
        <v>36746015.772173211</v>
      </c>
      <c r="Z168" s="201">
        <f t="shared" si="61"/>
        <v>2.001563324298444E-3</v>
      </c>
      <c r="AA168" s="193">
        <v>2050</v>
      </c>
      <c r="AB168" s="63">
        <f t="shared" si="67"/>
        <v>2651394774.4645972</v>
      </c>
      <c r="AC168" s="63">
        <f t="shared" si="67"/>
        <v>3176233541.1448202</v>
      </c>
      <c r="AD168" s="63">
        <f t="shared" si="67"/>
        <v>153127653.91274762</v>
      </c>
      <c r="AE168" s="63">
        <f t="shared" si="67"/>
        <v>24997247.232345875</v>
      </c>
      <c r="AF168" s="63">
        <f t="shared" si="67"/>
        <v>60595379.534021154</v>
      </c>
      <c r="AG168" s="63">
        <f t="shared" si="67"/>
        <v>48623867.336856559</v>
      </c>
      <c r="AH168" s="214">
        <f t="shared" si="63"/>
        <v>1.3173870879053726E-3</v>
      </c>
    </row>
    <row r="169" spans="1:34">
      <c r="A169" s="258"/>
      <c r="B169" s="259"/>
      <c r="C169" s="193">
        <v>2060</v>
      </c>
      <c r="D169" s="63">
        <f>D112+D93+D17+D131</f>
        <v>1826317822.3969858</v>
      </c>
      <c r="E169" s="63">
        <f t="shared" si="64"/>
        <v>2189512617.4586139</v>
      </c>
      <c r="F169" s="63">
        <f t="shared" si="64"/>
        <v>105610758.48906863</v>
      </c>
      <c r="G169" s="63">
        <f t="shared" si="64"/>
        <v>17242391.369162016</v>
      </c>
      <c r="H169" s="63">
        <f t="shared" si="64"/>
        <v>41730750.619648993</v>
      </c>
      <c r="I169" s="63">
        <f t="shared" si="64"/>
        <v>33465619.650938146</v>
      </c>
      <c r="J169" s="201">
        <f t="shared" si="57"/>
        <v>9.285217802472754E-4</v>
      </c>
      <c r="K169" s="193">
        <v>2060</v>
      </c>
      <c r="L169" s="199">
        <f t="shared" si="65"/>
        <v>2570007447.4698648</v>
      </c>
      <c r="M169" s="199">
        <f t="shared" si="65"/>
        <v>3065567970.094357</v>
      </c>
      <c r="N169" s="199">
        <f t="shared" si="65"/>
        <v>147373763.97602889</v>
      </c>
      <c r="O169" s="199">
        <f t="shared" si="65"/>
        <v>24042141.365550816</v>
      </c>
      <c r="P169" s="199">
        <f t="shared" si="65"/>
        <v>58799628.235988706</v>
      </c>
      <c r="Q169" s="199">
        <f t="shared" si="65"/>
        <v>47344536.615000367</v>
      </c>
      <c r="R169" s="201">
        <f t="shared" si="59"/>
        <v>1.6553690802219431E-3</v>
      </c>
      <c r="S169" s="193">
        <v>2060</v>
      </c>
      <c r="T169" s="63">
        <f t="shared" si="66"/>
        <v>3780566345.6196728</v>
      </c>
      <c r="U169" s="63">
        <f t="shared" si="66"/>
        <v>4484164108.2223101</v>
      </c>
      <c r="V169" s="63">
        <f t="shared" si="66"/>
        <v>214760538.3164072</v>
      </c>
      <c r="W169" s="63">
        <f t="shared" si="66"/>
        <v>35004720.025121219</v>
      </c>
      <c r="X169" s="63">
        <f t="shared" si="66"/>
        <v>86620155.992934927</v>
      </c>
      <c r="Y169" s="63">
        <f t="shared" si="66"/>
        <v>70056505.508673549</v>
      </c>
      <c r="Z169" s="201">
        <f t="shared" si="61"/>
        <v>3.474757427446021E-3</v>
      </c>
      <c r="AA169" s="193">
        <v>2060</v>
      </c>
      <c r="AB169" s="63">
        <f t="shared" si="67"/>
        <v>6386350154.7384481</v>
      </c>
      <c r="AC169" s="63">
        <f t="shared" si="67"/>
        <v>7650045640.0794897</v>
      </c>
      <c r="AD169" s="63">
        <f t="shared" si="67"/>
        <v>368797184.72731179</v>
      </c>
      <c r="AE169" s="63">
        <f t="shared" si="67"/>
        <v>60203546.297088064</v>
      </c>
      <c r="AF169" s="63">
        <f t="shared" si="67"/>
        <v>145956916.98399314</v>
      </c>
      <c r="AG169" s="63">
        <f t="shared" si="67"/>
        <v>117126752.88280463</v>
      </c>
      <c r="AH169" s="214">
        <f t="shared" si="63"/>
        <v>2.4194252809125794E-3</v>
      </c>
    </row>
    <row r="170" spans="1:34">
      <c r="A170" s="258"/>
      <c r="B170" s="259"/>
      <c r="C170" s="193">
        <v>2070</v>
      </c>
      <c r="D170" s="63">
        <f t="shared" si="64"/>
        <v>2557950024.1447291</v>
      </c>
      <c r="E170" s="63">
        <f t="shared" si="64"/>
        <v>3070314043.416913</v>
      </c>
      <c r="F170" s="63">
        <f t="shared" si="64"/>
        <v>148212703.98112282</v>
      </c>
      <c r="G170" s="63">
        <f t="shared" si="64"/>
        <v>24202141.902139094</v>
      </c>
      <c r="H170" s="63">
        <f t="shared" si="64"/>
        <v>58430376.378922291</v>
      </c>
      <c r="I170" s="63">
        <f t="shared" si="64"/>
        <v>46812662.588274643</v>
      </c>
      <c r="J170" s="201">
        <f t="shared" si="57"/>
        <v>1.1058259254820748E-3</v>
      </c>
      <c r="K170" s="193">
        <v>2070</v>
      </c>
      <c r="L170" s="199">
        <f t="shared" si="65"/>
        <v>3940848874.3746948</v>
      </c>
      <c r="M170" s="199">
        <f t="shared" si="65"/>
        <v>4698640089.3097382</v>
      </c>
      <c r="N170" s="199">
        <f t="shared" si="65"/>
        <v>225814794.75491288</v>
      </c>
      <c r="O170" s="199">
        <f t="shared" si="65"/>
        <v>36836248.869659878</v>
      </c>
      <c r="P170" s="199">
        <f t="shared" si="65"/>
        <v>90173595.759844527</v>
      </c>
      <c r="Q170" s="199">
        <f t="shared" si="65"/>
        <v>72632127.504945904</v>
      </c>
      <c r="R170" s="201">
        <f t="shared" si="59"/>
        <v>2.115733949424943E-3</v>
      </c>
      <c r="S170" s="193">
        <v>2070</v>
      </c>
      <c r="T170" s="63">
        <f t="shared" si="66"/>
        <v>7009794062.2690392</v>
      </c>
      <c r="U170" s="63">
        <f t="shared" si="66"/>
        <v>8292484031.2326946</v>
      </c>
      <c r="V170" s="63">
        <f t="shared" si="66"/>
        <v>396449682.55938542</v>
      </c>
      <c r="W170" s="63">
        <f t="shared" si="66"/>
        <v>64592258.038540244</v>
      </c>
      <c r="X170" s="63">
        <f t="shared" si="66"/>
        <v>160714969.25737405</v>
      </c>
      <c r="Y170" s="63">
        <f t="shared" si="66"/>
        <v>130250900.68217061</v>
      </c>
      <c r="Z170" s="201">
        <f t="shared" si="61"/>
        <v>5.9078570760944839E-3</v>
      </c>
      <c r="AA170" s="193">
        <v>2070</v>
      </c>
      <c r="AB170" s="63">
        <f t="shared" si="67"/>
        <v>15916792369.766644</v>
      </c>
      <c r="AC170" s="63">
        <f t="shared" si="67"/>
        <v>19081691539.78368</v>
      </c>
      <c r="AD170" s="63">
        <f t="shared" si="67"/>
        <v>920388412.34468555</v>
      </c>
      <c r="AE170" s="63">
        <f t="shared" si="67"/>
        <v>150265399.43680197</v>
      </c>
      <c r="AF170" s="63">
        <f t="shared" si="67"/>
        <v>363695472.04546261</v>
      </c>
      <c r="AG170" s="63">
        <f t="shared" si="67"/>
        <v>291667756.13371313</v>
      </c>
      <c r="AH170" s="214">
        <f t="shared" si="63"/>
        <v>4.7630078135169592E-3</v>
      </c>
    </row>
    <row r="171" spans="1:34">
      <c r="A171" s="258"/>
      <c r="B171" s="259"/>
      <c r="C171" s="193">
        <v>2080</v>
      </c>
      <c r="D171" s="63">
        <f t="shared" si="64"/>
        <v>3411555387.2935033</v>
      </c>
      <c r="E171" s="63">
        <f t="shared" si="64"/>
        <v>4103691396.8860674</v>
      </c>
      <c r="F171" s="63">
        <f t="shared" si="64"/>
        <v>198375740.62502563</v>
      </c>
      <c r="G171" s="63">
        <f t="shared" si="64"/>
        <v>32403955.756565362</v>
      </c>
      <c r="H171" s="63">
        <f t="shared" si="64"/>
        <v>77886064.431743518</v>
      </c>
      <c r="I171" s="63">
        <f t="shared" si="64"/>
        <v>62291985.722668648</v>
      </c>
      <c r="J171" s="201">
        <f t="shared" si="57"/>
        <v>1.3022793602398017E-3</v>
      </c>
      <c r="K171" s="193">
        <v>2080</v>
      </c>
      <c r="L171" s="199">
        <f t="shared" si="65"/>
        <v>5702566278.8778238</v>
      </c>
      <c r="M171" s="199">
        <f t="shared" si="65"/>
        <v>6801017467.5394564</v>
      </c>
      <c r="N171" s="199">
        <f t="shared" si="65"/>
        <v>326914821.25383294</v>
      </c>
      <c r="O171" s="199">
        <f t="shared" si="65"/>
        <v>53330581.198401339</v>
      </c>
      <c r="P171" s="199">
        <f t="shared" si="65"/>
        <v>130475546.33109704</v>
      </c>
      <c r="Q171" s="199">
        <f t="shared" si="65"/>
        <v>105070882.25860882</v>
      </c>
      <c r="R171" s="201">
        <f t="shared" si="59"/>
        <v>2.5940448006300568E-3</v>
      </c>
      <c r="S171" s="193">
        <v>2080</v>
      </c>
      <c r="T171" s="63">
        <f t="shared" si="66"/>
        <v>12467375449.066547</v>
      </c>
      <c r="U171" s="63">
        <f t="shared" si="66"/>
        <v>14714610293.682369</v>
      </c>
      <c r="V171" s="63">
        <f t="shared" si="66"/>
        <v>702382420.23016012</v>
      </c>
      <c r="W171" s="63">
        <f t="shared" si="66"/>
        <v>114395046.50813173</v>
      </c>
      <c r="X171" s="63">
        <f t="shared" si="66"/>
        <v>286008587.93196207</v>
      </c>
      <c r="Y171" s="63">
        <f t="shared" si="66"/>
        <v>232212112.28293517</v>
      </c>
      <c r="Z171" s="201">
        <f t="shared" si="61"/>
        <v>9.6752789973175712E-3</v>
      </c>
      <c r="AA171" s="193">
        <v>2080</v>
      </c>
      <c r="AB171" s="63">
        <f t="shared" si="67"/>
        <v>39957977684.586945</v>
      </c>
      <c r="AC171" s="63">
        <f t="shared" si="67"/>
        <v>47982349865.946297</v>
      </c>
      <c r="AD171" s="63">
        <f t="shared" si="67"/>
        <v>2316899517.8742871</v>
      </c>
      <c r="AE171" s="63">
        <f t="shared" si="67"/>
        <v>378358937.3023228</v>
      </c>
      <c r="AF171" s="63">
        <f t="shared" si="67"/>
        <v>912645409.13138986</v>
      </c>
      <c r="AG171" s="63">
        <f t="shared" si="67"/>
        <v>730930031.54854941</v>
      </c>
      <c r="AH171" s="214">
        <f t="shared" si="63"/>
        <v>9.7898174078141758E-3</v>
      </c>
    </row>
    <row r="172" spans="1:34">
      <c r="A172" s="258"/>
      <c r="B172" s="259"/>
      <c r="C172" s="193">
        <v>2090</v>
      </c>
      <c r="D172" s="63">
        <f t="shared" si="64"/>
        <v>4345940054.2019434</v>
      </c>
      <c r="E172" s="63">
        <f t="shared" si="64"/>
        <v>5244084400.5531254</v>
      </c>
      <c r="F172" s="63">
        <f t="shared" si="64"/>
        <v>254023816.15538082</v>
      </c>
      <c r="G172" s="63">
        <f t="shared" si="64"/>
        <v>41513478.143591821</v>
      </c>
      <c r="H172" s="63">
        <f t="shared" si="64"/>
        <v>99137871.331015766</v>
      </c>
      <c r="I172" s="63">
        <f t="shared" si="64"/>
        <v>79086798.418800637</v>
      </c>
      <c r="J172" s="201">
        <f t="shared" si="57"/>
        <v>1.5052719031060835E-3</v>
      </c>
      <c r="K172" s="193">
        <v>2090</v>
      </c>
      <c r="L172" s="199">
        <f t="shared" si="65"/>
        <v>7905028564.7995367</v>
      </c>
      <c r="M172" s="199">
        <f t="shared" si="65"/>
        <v>9436247413.3713684</v>
      </c>
      <c r="N172" s="199">
        <f t="shared" si="65"/>
        <v>453858525.00425333</v>
      </c>
      <c r="O172" s="199">
        <f t="shared" si="65"/>
        <v>74049592.378751501</v>
      </c>
      <c r="P172" s="199">
        <f t="shared" si="65"/>
        <v>180826605.37610555</v>
      </c>
      <c r="Q172" s="199">
        <f t="shared" si="65"/>
        <v>145513698.5515528</v>
      </c>
      <c r="R172" s="201">
        <f t="shared" si="59"/>
        <v>3.0859612171382548E-3</v>
      </c>
      <c r="S172" s="193">
        <v>2090</v>
      </c>
      <c r="T172" s="63">
        <f t="shared" si="66"/>
        <v>21522673492.313721</v>
      </c>
      <c r="U172" s="63">
        <f t="shared" si="66"/>
        <v>25347351721.106304</v>
      </c>
      <c r="V172" s="63">
        <f t="shared" si="66"/>
        <v>1208154876.1441767</v>
      </c>
      <c r="W172" s="63">
        <f t="shared" si="66"/>
        <v>196701351.27206776</v>
      </c>
      <c r="X172" s="63">
        <f t="shared" si="66"/>
        <v>494009587.17808652</v>
      </c>
      <c r="Y172" s="63">
        <f t="shared" si="66"/>
        <v>401759160.4142136</v>
      </c>
      <c r="Z172" s="201">
        <f t="shared" si="61"/>
        <v>1.5380530398596642E-2</v>
      </c>
      <c r="AA172" s="193">
        <v>2090</v>
      </c>
      <c r="AB172" s="63">
        <f t="shared" si="67"/>
        <v>97043694145.43158</v>
      </c>
      <c r="AC172" s="63">
        <f t="shared" si="67"/>
        <v>116816809346.78833</v>
      </c>
      <c r="AD172" s="63">
        <f t="shared" si="67"/>
        <v>5649706695.086998</v>
      </c>
      <c r="AE172" s="63">
        <f t="shared" si="67"/>
        <v>922960317.83771408</v>
      </c>
      <c r="AF172" s="63">
        <f t="shared" si="67"/>
        <v>2215100292.5530405</v>
      </c>
      <c r="AG172" s="63">
        <f t="shared" si="67"/>
        <v>1770557255.8297112</v>
      </c>
      <c r="AH172" s="214">
        <f t="shared" si="63"/>
        <v>1.9984701735548057E-2</v>
      </c>
    </row>
    <row r="173" spans="1:34">
      <c r="A173" s="258"/>
      <c r="B173" s="259"/>
      <c r="C173" s="194">
        <v>2100</v>
      </c>
      <c r="D173" s="188">
        <f t="shared" si="64"/>
        <v>5475889639.2200813</v>
      </c>
      <c r="E173" s="188">
        <f t="shared" si="64"/>
        <v>6634062449.5507154</v>
      </c>
      <c r="F173" s="188">
        <f t="shared" si="64"/>
        <v>322191211.10303682</v>
      </c>
      <c r="G173" s="188">
        <f t="shared" si="64"/>
        <v>52685096.532051668</v>
      </c>
      <c r="H173" s="188">
        <f t="shared" si="64"/>
        <v>124784410.65131553</v>
      </c>
      <c r="I173" s="188">
        <f t="shared" si="64"/>
        <v>99220178.071815029</v>
      </c>
      <c r="J173" s="202">
        <f t="shared" si="57"/>
        <v>1.764700945123364E-3</v>
      </c>
      <c r="K173" s="194">
        <v>2100</v>
      </c>
      <c r="L173" s="200">
        <f t="shared" si="65"/>
        <v>10697353622.71443</v>
      </c>
      <c r="M173" s="200">
        <f t="shared" si="65"/>
        <v>12785671217.800415</v>
      </c>
      <c r="N173" s="200">
        <f t="shared" si="65"/>
        <v>615474478.62644386</v>
      </c>
      <c r="O173" s="200">
        <f t="shared" si="65"/>
        <v>100437748.07925886</v>
      </c>
      <c r="P173" s="200">
        <f t="shared" si="65"/>
        <v>244621525.79596484</v>
      </c>
      <c r="Q173" s="200">
        <f t="shared" si="65"/>
        <v>196651430.34353769</v>
      </c>
      <c r="R173" s="202">
        <f t="shared" si="59"/>
        <v>3.6130936419658758E-3</v>
      </c>
      <c r="S173" s="194">
        <v>2100</v>
      </c>
      <c r="T173" s="188">
        <f t="shared" si="66"/>
        <v>36620744146.061729</v>
      </c>
      <c r="U173" s="188">
        <f t="shared" si="66"/>
        <v>43041586191.593765</v>
      </c>
      <c r="V173" s="188">
        <f t="shared" si="66"/>
        <v>2048723765.7383921</v>
      </c>
      <c r="W173" s="188">
        <f t="shared" si="66"/>
        <v>333448225.78047991</v>
      </c>
      <c r="X173" s="188">
        <f t="shared" si="66"/>
        <v>840979297.48909438</v>
      </c>
      <c r="Y173" s="188">
        <f t="shared" si="66"/>
        <v>684997738.9941802</v>
      </c>
      <c r="Z173" s="202">
        <f t="shared" si="61"/>
        <v>2.3996848345542714E-2</v>
      </c>
      <c r="AA173" s="194">
        <v>2100</v>
      </c>
      <c r="AB173" s="188">
        <f t="shared" si="67"/>
        <v>221822301788.44617</v>
      </c>
      <c r="AC173" s="188">
        <f t="shared" si="67"/>
        <v>267855337468.18451</v>
      </c>
      <c r="AD173" s="188">
        <f t="shared" si="67"/>
        <v>12980947681.921614</v>
      </c>
      <c r="AE173" s="188">
        <f t="shared" si="67"/>
        <v>2121618969.0976648</v>
      </c>
      <c r="AF173" s="188">
        <f t="shared" si="67"/>
        <v>5059192332.1288538</v>
      </c>
      <c r="AG173" s="188">
        <f t="shared" si="67"/>
        <v>4033604111.467185</v>
      </c>
      <c r="AH173" s="215">
        <f t="shared" si="63"/>
        <v>3.9160821736699533E-2</v>
      </c>
    </row>
    <row r="174" spans="1:34">
      <c r="D174" s="228">
        <f>SUM(D173:I173)/1000000000</f>
        <v>12.708832985129018</v>
      </c>
      <c r="AB174">
        <f>SUM(AB173:AG173)/1000000000</f>
        <v>513.87300235124599</v>
      </c>
    </row>
    <row r="176" spans="1:34">
      <c r="D176" s="68">
        <f>D4/D42/$B$14</f>
        <v>7.635996138720888E-4</v>
      </c>
      <c r="E176" s="68">
        <f t="shared" ref="E176:I176" si="68">E4/E42/$B$14</f>
        <v>1.2745844805948615E-3</v>
      </c>
      <c r="F176" s="68">
        <f>F4/F42/$B$14</f>
        <v>1.1223741325658873E-4</v>
      </c>
      <c r="G176" s="68">
        <f>G4/G42/$B$14</f>
        <v>1.6807570105251994E-4</v>
      </c>
      <c r="H176" s="68">
        <f t="shared" si="68"/>
        <v>1.4699187629592738E-4</v>
      </c>
      <c r="I176" s="68">
        <f t="shared" si="68"/>
        <v>7.696650557704178E-4</v>
      </c>
    </row>
  </sheetData>
  <mergeCells count="50">
    <mergeCell ref="D98:I98"/>
    <mergeCell ref="K1:Q1"/>
    <mergeCell ref="L22:Q22"/>
    <mergeCell ref="L41:Q41"/>
    <mergeCell ref="L60:Q60"/>
    <mergeCell ref="L79:Q79"/>
    <mergeCell ref="L98:Q98"/>
    <mergeCell ref="C1:I1"/>
    <mergeCell ref="D22:I22"/>
    <mergeCell ref="D41:I41"/>
    <mergeCell ref="D60:I60"/>
    <mergeCell ref="D79:I79"/>
    <mergeCell ref="L136:Q136"/>
    <mergeCell ref="S1:Y1"/>
    <mergeCell ref="T22:Y22"/>
    <mergeCell ref="T41:Y41"/>
    <mergeCell ref="T60:Y60"/>
    <mergeCell ref="T79:Y79"/>
    <mergeCell ref="T98:Y98"/>
    <mergeCell ref="T136:Y136"/>
    <mergeCell ref="AB136:AG136"/>
    <mergeCell ref="AA1:AG1"/>
    <mergeCell ref="AB22:AG22"/>
    <mergeCell ref="AB41:AG41"/>
    <mergeCell ref="AB60:AG60"/>
    <mergeCell ref="AB117:AG117"/>
    <mergeCell ref="AB155:AG155"/>
    <mergeCell ref="A3:B3"/>
    <mergeCell ref="D3:I3"/>
    <mergeCell ref="L3:Q3"/>
    <mergeCell ref="T3:Y3"/>
    <mergeCell ref="AB3:AG3"/>
    <mergeCell ref="D117:I117"/>
    <mergeCell ref="D136:I136"/>
    <mergeCell ref="D155:I155"/>
    <mergeCell ref="L117:Q117"/>
    <mergeCell ref="T117:Y117"/>
    <mergeCell ref="L155:Q155"/>
    <mergeCell ref="T155:Y155"/>
    <mergeCell ref="AB79:AG79"/>
    <mergeCell ref="AB98:AG98"/>
    <mergeCell ref="A22:B22"/>
    <mergeCell ref="A118:B135"/>
    <mergeCell ref="A137:B154"/>
    <mergeCell ref="A156:B173"/>
    <mergeCell ref="A23:B40"/>
    <mergeCell ref="A42:B59"/>
    <mergeCell ref="A61:B78"/>
    <mergeCell ref="A80:B97"/>
    <mergeCell ref="A99:B116"/>
  </mergeCells>
  <conditionalFormatting sqref="J156:J173">
    <cfRule type="cellIs" dxfId="7" priority="7" operator="greaterThanOrEqual">
      <formula>0.1</formula>
    </cfRule>
    <cfRule type="cellIs" dxfId="6" priority="8" operator="lessThan">
      <formula>0.1</formula>
    </cfRule>
  </conditionalFormatting>
  <conditionalFormatting sqref="R156:R173">
    <cfRule type="cellIs" dxfId="5" priority="5" operator="greaterThanOrEqual">
      <formula>0.1</formula>
    </cfRule>
    <cfRule type="cellIs" dxfId="4" priority="6" operator="lessThan">
      <formula>0.1</formula>
    </cfRule>
  </conditionalFormatting>
  <conditionalFormatting sqref="Z156:Z173">
    <cfRule type="cellIs" dxfId="3" priority="3" operator="greaterThanOrEqual">
      <formula>0.1</formula>
    </cfRule>
    <cfRule type="cellIs" dxfId="2" priority="4" operator="lessThan">
      <formula>0.1</formula>
    </cfRule>
  </conditionalFormatting>
  <conditionalFormatting sqref="AH156:AH173">
    <cfRule type="cellIs" dxfId="1" priority="1" operator="greaterThanOrEqual">
      <formula>0.1</formula>
    </cfRule>
    <cfRule type="cellIs" dxfId="0" priority="2" operator="lessThan">
      <formula>0.1</formula>
    </cfRule>
  </conditionalFormatting>
  <dataValidations count="2">
    <dataValidation type="list" showInputMessage="1" showErrorMessage="1" promptTitle="Severity Level" prompt="Please enter a severity level" sqref="B4" xr:uid="{D849C923-FDB0-48F3-A4D9-97753948C73E}">
      <formula1>"lower, upper, average"</formula1>
    </dataValidation>
    <dataValidation type="list" errorStyle="warning" allowBlank="1" showInputMessage="1" showErrorMessage="1" promptTitle="Inflation" prompt="Please select an inflation level" sqref="B15" xr:uid="{D424BC2B-B175-4B2D-AF7F-53610906FA16}">
      <formula1>"0, 0.0125, 0.025, ='Inflation-Interest'!$B$63, 0.05, 0.0625, 0.075"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2C42-131F-4E9B-819D-F341F1C9D2F4}">
  <sheetPr>
    <tabColor rgb="FFC65911"/>
  </sheetPr>
  <dimension ref="B2:P63"/>
  <sheetViews>
    <sheetView topLeftCell="A19" workbookViewId="0">
      <selection activeCell="S12" sqref="S12"/>
    </sheetView>
  </sheetViews>
  <sheetFormatPr defaultRowHeight="15"/>
  <cols>
    <col min="1" max="1" width="3.140625" customWidth="1"/>
  </cols>
  <sheetData>
    <row r="2" spans="2:16">
      <c r="B2" s="223"/>
      <c r="C2" s="266" t="s">
        <v>210</v>
      </c>
      <c r="D2" s="266"/>
      <c r="E2" s="266"/>
      <c r="F2" s="267"/>
      <c r="G2" s="194"/>
      <c r="H2" s="267" t="s">
        <v>191</v>
      </c>
      <c r="I2" s="282"/>
      <c r="J2" s="282"/>
      <c r="K2" s="283"/>
      <c r="L2" s="194"/>
      <c r="M2" s="267" t="s">
        <v>211</v>
      </c>
      <c r="N2" s="282"/>
      <c r="O2" s="282"/>
      <c r="P2" s="283"/>
    </row>
    <row r="3" spans="2:16">
      <c r="B3" s="185" t="s">
        <v>88</v>
      </c>
      <c r="C3" s="185" t="s">
        <v>199</v>
      </c>
      <c r="D3" s="185" t="s">
        <v>200</v>
      </c>
      <c r="E3" s="185" t="s">
        <v>201</v>
      </c>
      <c r="F3" s="220" t="s">
        <v>202</v>
      </c>
      <c r="G3" s="222" t="s">
        <v>88</v>
      </c>
      <c r="H3" s="221" t="s">
        <v>199</v>
      </c>
      <c r="I3" s="185" t="s">
        <v>200</v>
      </c>
      <c r="J3" s="185" t="s">
        <v>201</v>
      </c>
      <c r="K3" s="220" t="s">
        <v>202</v>
      </c>
      <c r="L3" s="185" t="s">
        <v>88</v>
      </c>
      <c r="M3" s="221" t="s">
        <v>199</v>
      </c>
      <c r="N3" s="185" t="s">
        <v>200</v>
      </c>
      <c r="O3" s="185" t="s">
        <v>201</v>
      </c>
      <c r="P3" s="185" t="s">
        <v>202</v>
      </c>
    </row>
    <row r="4" spans="2:16">
      <c r="B4" s="193">
        <v>2020</v>
      </c>
      <c r="C4" s="68">
        <v>4.5267115091401233E-4</v>
      </c>
      <c r="D4" s="68">
        <v>4.5267115091401233E-4</v>
      </c>
      <c r="E4" s="68">
        <v>4.5267115091401233E-4</v>
      </c>
      <c r="F4" s="68">
        <v>4.5267115091401233E-4</v>
      </c>
      <c r="G4" s="193">
        <v>2020</v>
      </c>
      <c r="H4" s="68">
        <v>3.332702878804354E-4</v>
      </c>
      <c r="I4" s="68">
        <v>3.332702878804354E-4</v>
      </c>
      <c r="J4" s="68">
        <v>3.332702878804354E-4</v>
      </c>
      <c r="K4" s="68">
        <v>3.332702878804354E-4</v>
      </c>
      <c r="L4" s="193">
        <v>2020</v>
      </c>
      <c r="M4" s="68">
        <v>2.1607209554580745E-4</v>
      </c>
      <c r="N4" s="68">
        <v>2.1607209554580745E-4</v>
      </c>
      <c r="O4" s="68">
        <v>2.1607209554580745E-4</v>
      </c>
      <c r="P4" s="216">
        <v>2.1607209554580745E-4</v>
      </c>
    </row>
    <row r="5" spans="2:16">
      <c r="B5" s="193">
        <v>2021</v>
      </c>
      <c r="C5" s="68">
        <v>4.5713937447481684E-4</v>
      </c>
      <c r="D5" s="68">
        <v>4.6414478123226751E-4</v>
      </c>
      <c r="E5" s="68">
        <v>4.7104501442047118E-4</v>
      </c>
      <c r="F5" s="68">
        <v>4.57837291921247E-4</v>
      </c>
      <c r="G5" s="193">
        <v>2021</v>
      </c>
      <c r="H5" s="68">
        <v>3.3654907906148463E-4</v>
      </c>
      <c r="I5" s="68">
        <v>3.4170267899106372E-4</v>
      </c>
      <c r="J5" s="68">
        <v>3.4677914849151202E-4</v>
      </c>
      <c r="K5" s="68">
        <v>3.370458568179643E-4</v>
      </c>
      <c r="L5" s="193">
        <v>2021</v>
      </c>
      <c r="M5" s="68">
        <v>2.1818368832531447E-4</v>
      </c>
      <c r="N5" s="68">
        <v>2.2151975035566534E-4</v>
      </c>
      <c r="O5" s="68">
        <v>2.248061996594661E-4</v>
      </c>
      <c r="P5" s="216">
        <v>2.1847606424601779E-4</v>
      </c>
    </row>
    <row r="6" spans="2:16">
      <c r="B6" s="193">
        <v>2022</v>
      </c>
      <c r="C6" s="68">
        <v>4.6271530162678539E-4</v>
      </c>
      <c r="D6" s="68">
        <v>4.7650775000604364E-4</v>
      </c>
      <c r="E6" s="68">
        <v>4.9044076526590303E-4</v>
      </c>
      <c r="F6" s="68">
        <v>4.6390938865386585E-4</v>
      </c>
      <c r="G6" s="193">
        <v>2022</v>
      </c>
      <c r="H6" s="68">
        <v>3.4064319653231918E-4</v>
      </c>
      <c r="I6" s="68">
        <v>3.5078916038141757E-4</v>
      </c>
      <c r="J6" s="68">
        <v>3.6103901865513729E-4</v>
      </c>
      <c r="K6" s="68">
        <v>3.4151814696203094E-4</v>
      </c>
      <c r="L6" s="193">
        <v>2022</v>
      </c>
      <c r="M6" s="68">
        <v>2.2082362912533452E-4</v>
      </c>
      <c r="N6" s="68">
        <v>2.2739060500682231E-4</v>
      </c>
      <c r="O6" s="68">
        <v>2.3402546849747889E-4</v>
      </c>
      <c r="P6" s="216">
        <v>2.2137777611746923E-4</v>
      </c>
    </row>
    <row r="7" spans="2:16">
      <c r="B7" s="193">
        <v>2023</v>
      </c>
      <c r="C7" s="68">
        <v>4.6932874749253996E-4</v>
      </c>
      <c r="D7" s="68">
        <v>4.8976125132683913E-4</v>
      </c>
      <c r="E7" s="68">
        <v>5.1089643593663569E-4</v>
      </c>
      <c r="F7" s="68">
        <v>4.718827671220676E-4</v>
      </c>
      <c r="G7" s="193">
        <v>2023</v>
      </c>
      <c r="H7" s="68">
        <v>3.455008963915202E-4</v>
      </c>
      <c r="I7" s="68">
        <v>3.6053053447263403E-4</v>
      </c>
      <c r="J7" s="68">
        <v>3.7607779492373409E-4</v>
      </c>
      <c r="K7" s="68">
        <v>3.4738585581140917E-4</v>
      </c>
      <c r="L7" s="193">
        <v>2023</v>
      </c>
      <c r="M7" s="68">
        <v>2.239582767531531E-4</v>
      </c>
      <c r="N7" s="68">
        <v>2.3368507953741758E-4</v>
      </c>
      <c r="O7" s="68">
        <v>2.4374785246193516E-4</v>
      </c>
      <c r="P7" s="216">
        <v>2.251785807244103E-4</v>
      </c>
    </row>
    <row r="8" spans="2:16">
      <c r="B8" s="193">
        <v>2024</v>
      </c>
      <c r="C8" s="68">
        <v>4.7692600012466056E-4</v>
      </c>
      <c r="D8" s="68">
        <v>5.0391160148161962E-4</v>
      </c>
      <c r="E8" s="68">
        <v>5.3245299304156542E-4</v>
      </c>
      <c r="F8" s="68">
        <v>4.8165738520853854E-4</v>
      </c>
      <c r="G8" s="193">
        <v>2024</v>
      </c>
      <c r="H8" s="68">
        <v>3.5108256851912014E-4</v>
      </c>
      <c r="I8" s="68">
        <v>3.7093137523245336E-4</v>
      </c>
      <c r="J8" s="68">
        <v>3.9192552973293232E-4</v>
      </c>
      <c r="K8" s="68">
        <v>3.545754434476152E-4</v>
      </c>
      <c r="L8" s="193">
        <v>2024</v>
      </c>
      <c r="M8" s="68">
        <v>2.2756186453745352E-4</v>
      </c>
      <c r="N8" s="68">
        <v>2.4040603978812131E-4</v>
      </c>
      <c r="O8" s="68">
        <v>2.5399269407127455E-4</v>
      </c>
      <c r="P8" s="216">
        <v>2.2983094711476816E-4</v>
      </c>
    </row>
    <row r="9" spans="2:16">
      <c r="B9" s="193">
        <v>2025</v>
      </c>
      <c r="C9" s="68">
        <v>4.8546657271040714E-4</v>
      </c>
      <c r="D9" s="68">
        <v>5.1896963413001779E-4</v>
      </c>
      <c r="E9" s="68">
        <v>5.5515431383035686E-4</v>
      </c>
      <c r="F9" s="68">
        <v>4.9316834788548452E-4</v>
      </c>
      <c r="G9" s="193">
        <v>2025</v>
      </c>
      <c r="H9" s="68">
        <v>3.5735834381203109E-4</v>
      </c>
      <c r="I9" s="68">
        <v>3.8199958216679112E-4</v>
      </c>
      <c r="J9" s="68">
        <v>4.0861441365733437E-4</v>
      </c>
      <c r="K9" s="68">
        <v>3.6303915142563451E-4</v>
      </c>
      <c r="L9" s="193">
        <v>2025</v>
      </c>
      <c r="M9" s="68">
        <v>2.3161494686515903E-4</v>
      </c>
      <c r="N9" s="68">
        <v>2.47558507297659E-4</v>
      </c>
      <c r="O9" s="68">
        <v>2.6478071586003899E-4</v>
      </c>
      <c r="P9" s="216">
        <v>2.3530393740895628E-4</v>
      </c>
    </row>
    <row r="10" spans="2:16">
      <c r="B10" s="193">
        <v>2026</v>
      </c>
      <c r="C10" s="68">
        <v>4.9492075000189201E-4</v>
      </c>
      <c r="D10" s="68">
        <v>5.3495022890580031E-4</v>
      </c>
      <c r="E10" s="68">
        <v>5.7904718722577369E-4</v>
      </c>
      <c r="F10" s="68">
        <v>5.0637894998547216E-4</v>
      </c>
      <c r="G10" s="193">
        <v>2026</v>
      </c>
      <c r="H10" s="68">
        <v>3.6430628652584104E-4</v>
      </c>
      <c r="I10" s="68">
        <v>3.9374603264813143E-4</v>
      </c>
      <c r="J10" s="68">
        <v>4.2617877572741447E-4</v>
      </c>
      <c r="K10" s="68">
        <v>3.7274989686744806E-4</v>
      </c>
      <c r="L10" s="193">
        <v>2026</v>
      </c>
      <c r="M10" s="68">
        <v>2.3610322555328759E-4</v>
      </c>
      <c r="N10" s="68">
        <v>2.5514943309215186E-4</v>
      </c>
      <c r="O10" s="68">
        <v>2.7613402000544937E-4</v>
      </c>
      <c r="P10" s="216">
        <v>2.4157991733753591E-4</v>
      </c>
    </row>
    <row r="11" spans="2:16">
      <c r="B11" s="193">
        <v>2027</v>
      </c>
      <c r="C11" s="68">
        <v>5.0526771432358791E-4</v>
      </c>
      <c r="D11" s="68">
        <v>5.5187194419460521E-4</v>
      </c>
      <c r="E11" s="68">
        <v>6.0418133571348562E-4</v>
      </c>
      <c r="F11" s="68">
        <v>5.2127566472573688E-4</v>
      </c>
      <c r="G11" s="193">
        <v>2027</v>
      </c>
      <c r="H11" s="68">
        <v>3.7191101359018372E-4</v>
      </c>
      <c r="I11" s="68">
        <v>4.0618431102177916E-4</v>
      </c>
      <c r="J11" s="68">
        <v>4.4465509910938527E-4</v>
      </c>
      <c r="K11" s="68">
        <v>3.8369759403419326E-4</v>
      </c>
      <c r="L11" s="193">
        <v>2027</v>
      </c>
      <c r="M11" s="68">
        <v>2.4101665339851643E-4</v>
      </c>
      <c r="N11" s="68">
        <v>2.631875213571846E-4</v>
      </c>
      <c r="O11" s="68">
        <v>2.8807609792361319E-4</v>
      </c>
      <c r="P11" s="216">
        <v>2.4865218577096239E-4</v>
      </c>
    </row>
    <row r="12" spans="2:16">
      <c r="B12" s="193">
        <v>2028</v>
      </c>
      <c r="C12" s="68">
        <v>5.1649410049679951E-4</v>
      </c>
      <c r="D12" s="68">
        <v>5.6975673212765921E-4</v>
      </c>
      <c r="E12" s="68">
        <v>6.3060945525880707E-4</v>
      </c>
      <c r="F12" s="68">
        <v>5.3786451037421445E-4</v>
      </c>
      <c r="G12" s="193">
        <v>2028</v>
      </c>
      <c r="H12" s="68">
        <v>3.8016262990503571E-4</v>
      </c>
      <c r="I12" s="68">
        <v>4.1933049830270545E-4</v>
      </c>
      <c r="J12" s="68">
        <v>4.6408205005916996E-4</v>
      </c>
      <c r="K12" s="68">
        <v>3.9588648695607217E-4</v>
      </c>
      <c r="L12" s="193">
        <v>2028</v>
      </c>
      <c r="M12" s="68">
        <v>2.4634874284969611E-4</v>
      </c>
      <c r="N12" s="68">
        <v>2.7168309247239063E-4</v>
      </c>
      <c r="O12" s="68">
        <v>3.0063184847463434E-4</v>
      </c>
      <c r="P12" s="216">
        <v>2.5652325515667279E-4</v>
      </c>
    </row>
    <row r="13" spans="2:16">
      <c r="B13" s="193">
        <v>2029</v>
      </c>
      <c r="C13" s="68">
        <v>5.285928723275221E-4</v>
      </c>
      <c r="D13" s="68">
        <v>5.8862971914718832E-4</v>
      </c>
      <c r="E13" s="68">
        <v>6.5838727105603035E-4</v>
      </c>
      <c r="F13" s="68">
        <v>5.5616841172119588E-4</v>
      </c>
      <c r="G13" s="193">
        <v>2029</v>
      </c>
      <c r="H13" s="68">
        <v>3.8905590052967852E-4</v>
      </c>
      <c r="I13" s="68">
        <v>4.3320301019410273E-4</v>
      </c>
      <c r="J13" s="68">
        <v>4.845005185308461E-4</v>
      </c>
      <c r="K13" s="68">
        <v>4.0933321188019661E-4</v>
      </c>
      <c r="L13" s="193">
        <v>2029</v>
      </c>
      <c r="M13" s="68">
        <v>2.5209602846030973E-4</v>
      </c>
      <c r="N13" s="68">
        <v>2.8064797743475301E-4</v>
      </c>
      <c r="O13" s="68">
        <v>3.1382760372119779E-4</v>
      </c>
      <c r="P13" s="216">
        <v>2.6520360179258862E-4</v>
      </c>
    </row>
    <row r="14" spans="2:16">
      <c r="B14" s="193">
        <v>2030</v>
      </c>
      <c r="C14" s="68">
        <v>5.4156244309965201E-4</v>
      </c>
      <c r="D14" s="68">
        <v>6.0851903941941149E-4</v>
      </c>
      <c r="E14" s="68">
        <v>6.8757360741025168E-4</v>
      </c>
      <c r="F14" s="68">
        <v>5.7521634607555756E-4</v>
      </c>
      <c r="G14" s="193">
        <v>2030</v>
      </c>
      <c r="H14" s="68">
        <v>3.9858960262660875E-4</v>
      </c>
      <c r="I14" s="68">
        <v>4.4782247404827981E-4</v>
      </c>
      <c r="J14" s="68">
        <v>5.059536691844204E-4</v>
      </c>
      <c r="K14" s="68">
        <v>4.2335294999214977E-4</v>
      </c>
      <c r="L14" s="193">
        <v>2030</v>
      </c>
      <c r="M14" s="68">
        <v>2.582576460277677E-4</v>
      </c>
      <c r="N14" s="68">
        <v>2.900954375745966E-4</v>
      </c>
      <c r="O14" s="68">
        <v>3.2769116142234182E-4</v>
      </c>
      <c r="P14" s="216">
        <v>2.7429481580453668E-4</v>
      </c>
    </row>
    <row r="15" spans="2:16">
      <c r="B15" s="193">
        <v>2040</v>
      </c>
      <c r="C15" s="68">
        <v>6.4259292950724287E-4</v>
      </c>
      <c r="D15" s="68">
        <v>8.6380728522671613E-4</v>
      </c>
      <c r="E15" s="68">
        <v>1.1617727995050337E-3</v>
      </c>
      <c r="F15" s="68">
        <v>8.0281542313826132E-4</v>
      </c>
      <c r="G15" s="193">
        <v>2040</v>
      </c>
      <c r="H15" s="68">
        <v>4.7285081945695073E-4</v>
      </c>
      <c r="I15" s="68">
        <v>6.3549228915667742E-4</v>
      </c>
      <c r="J15" s="68">
        <v>8.5452547720349175E-4</v>
      </c>
      <c r="K15" s="68">
        <v>5.9073464572543134E-4</v>
      </c>
      <c r="L15" s="193">
        <v>2040</v>
      </c>
      <c r="M15" s="68">
        <v>3.0624666392371427E-4</v>
      </c>
      <c r="N15" s="68">
        <v>4.114017843180352E-4</v>
      </c>
      <c r="O15" s="68">
        <v>5.5296785417000298E-4</v>
      </c>
      <c r="P15" s="216">
        <v>3.8257493957432253E-4</v>
      </c>
    </row>
    <row r="16" spans="2:16">
      <c r="B16" s="193">
        <v>2050</v>
      </c>
      <c r="C16" s="68">
        <v>7.7254968595196676E-4</v>
      </c>
      <c r="D16" s="68">
        <v>1.2193148580915845E-3</v>
      </c>
      <c r="E16" s="68">
        <v>2.001563324298444E-3</v>
      </c>
      <c r="F16" s="68">
        <v>1.3173870879053735E-3</v>
      </c>
      <c r="G16" s="193">
        <v>2050</v>
      </c>
      <c r="H16" s="68">
        <v>5.6843108704731271E-4</v>
      </c>
      <c r="I16" s="68">
        <v>8.9684059499332478E-4</v>
      </c>
      <c r="J16" s="68">
        <v>1.471674108988964E-3</v>
      </c>
      <c r="K16" s="68">
        <v>9.6926602124835668E-4</v>
      </c>
      <c r="L16" s="193">
        <v>2050</v>
      </c>
      <c r="M16" s="68">
        <v>3.680872401054324E-4</v>
      </c>
      <c r="N16" s="68">
        <v>5.8033825295183126E-4</v>
      </c>
      <c r="O16" s="68">
        <v>9.5161221826444884E-4</v>
      </c>
      <c r="P16" s="216">
        <v>6.2758404142348285E-4</v>
      </c>
    </row>
    <row r="17" spans="2:16">
      <c r="B17" s="193">
        <v>2060</v>
      </c>
      <c r="C17" s="68">
        <v>9.2852178024727561E-4</v>
      </c>
      <c r="D17" s="68">
        <v>1.6553690802219431E-3</v>
      </c>
      <c r="E17" s="68">
        <v>3.474757427446021E-3</v>
      </c>
      <c r="F17" s="68">
        <v>2.4194252809125803E-3</v>
      </c>
      <c r="G17" s="193">
        <v>2060</v>
      </c>
      <c r="H17" s="68">
        <v>6.8320958250539423E-4</v>
      </c>
      <c r="I17" s="68">
        <v>1.2174299637171119E-3</v>
      </c>
      <c r="J17" s="68">
        <v>2.5540871812853284E-3</v>
      </c>
      <c r="K17" s="68">
        <v>1.7800787267649608E-3</v>
      </c>
      <c r="L17" s="193">
        <v>2060</v>
      </c>
      <c r="M17" s="68">
        <v>4.4243348598456785E-4</v>
      </c>
      <c r="N17" s="68">
        <v>7.8760484545954028E-4</v>
      </c>
      <c r="O17" s="68">
        <v>1.6505123353119534E-3</v>
      </c>
      <c r="P17" s="216">
        <v>1.1525582513509818E-3</v>
      </c>
    </row>
    <row r="18" spans="2:16">
      <c r="B18" s="193">
        <v>2070</v>
      </c>
      <c r="C18" s="68">
        <v>1.1058259254820753E-3</v>
      </c>
      <c r="D18" s="68">
        <v>2.115733949424943E-3</v>
      </c>
      <c r="E18" s="68">
        <v>5.9078570760944839E-3</v>
      </c>
      <c r="F18" s="68">
        <v>4.7630078135169609E-3</v>
      </c>
      <c r="G18" s="193">
        <v>2070</v>
      </c>
      <c r="H18" s="68">
        <v>8.137649030369251E-4</v>
      </c>
      <c r="I18" s="68">
        <v>1.5559347184980433E-3</v>
      </c>
      <c r="J18" s="68">
        <v>4.3414017951583783E-3</v>
      </c>
      <c r="K18" s="68">
        <v>3.5046302129237675E-3</v>
      </c>
      <c r="L18" s="193">
        <v>2070</v>
      </c>
      <c r="M18" s="68">
        <v>5.2710188963926458E-4</v>
      </c>
      <c r="N18" s="68">
        <v>1.0065090798904433E-3</v>
      </c>
      <c r="O18" s="68">
        <v>2.8040628856220531E-3</v>
      </c>
      <c r="P18" s="216">
        <v>2.2695216488177634E-3</v>
      </c>
    </row>
    <row r="19" spans="2:16">
      <c r="B19" s="193">
        <v>2080</v>
      </c>
      <c r="C19" s="68">
        <v>1.3022793602398017E-3</v>
      </c>
      <c r="D19" s="68">
        <v>2.5940448006300568E-3</v>
      </c>
      <c r="E19" s="68">
        <v>9.6752789973175695E-3</v>
      </c>
      <c r="F19" s="68">
        <v>9.7898174078141775E-3</v>
      </c>
      <c r="G19" s="193">
        <v>2080</v>
      </c>
      <c r="H19" s="68">
        <v>9.5853183641187215E-4</v>
      </c>
      <c r="I19" s="68">
        <v>1.9077415497051344E-3</v>
      </c>
      <c r="J19" s="68">
        <v>7.1083005353083997E-3</v>
      </c>
      <c r="K19" s="68">
        <v>7.204517746788746E-3</v>
      </c>
      <c r="L19" s="193">
        <v>2080</v>
      </c>
      <c r="M19" s="68">
        <v>6.2113227193823554E-4</v>
      </c>
      <c r="N19" s="68">
        <v>1.2341547433192567E-3</v>
      </c>
      <c r="O19" s="68">
        <v>4.5890783701467474E-3</v>
      </c>
      <c r="P19" s="216">
        <v>4.666992731955936E-3</v>
      </c>
    </row>
    <row r="20" spans="2:16">
      <c r="B20" s="193">
        <v>2090</v>
      </c>
      <c r="C20" s="68">
        <v>1.5052719031060835E-3</v>
      </c>
      <c r="D20" s="68">
        <v>3.0859612171382548E-3</v>
      </c>
      <c r="E20" s="68">
        <v>1.5380530398596642E-2</v>
      </c>
      <c r="F20" s="68">
        <v>1.9984701735548061E-2</v>
      </c>
      <c r="G20" s="193">
        <v>2090</v>
      </c>
      <c r="H20" s="68">
        <v>1.1082795149548333E-3</v>
      </c>
      <c r="I20" s="68">
        <v>2.2697110631062015E-3</v>
      </c>
      <c r="J20" s="68">
        <v>1.1297503241092346E-2</v>
      </c>
      <c r="K20" s="68">
        <v>1.4710607888183302E-2</v>
      </c>
      <c r="L20" s="193">
        <v>2090</v>
      </c>
      <c r="M20" s="68">
        <v>7.1860931013495346E-4</v>
      </c>
      <c r="N20" s="68">
        <v>1.4685797984202442E-3</v>
      </c>
      <c r="O20" s="68">
        <v>7.2905004413949736E-3</v>
      </c>
      <c r="P20" s="216">
        <v>9.533882521541772E-3</v>
      </c>
    </row>
    <row r="21" spans="2:16">
      <c r="B21" s="194">
        <v>2100</v>
      </c>
      <c r="C21" s="192">
        <v>1.764700945123364E-3</v>
      </c>
      <c r="D21" s="192">
        <v>3.6130936419658758E-3</v>
      </c>
      <c r="E21" s="192">
        <v>2.3996848345542714E-2</v>
      </c>
      <c r="F21" s="192">
        <v>3.9160821736699554E-2</v>
      </c>
      <c r="G21" s="194">
        <v>2100</v>
      </c>
      <c r="H21" s="192">
        <v>1.2997912826398005E-3</v>
      </c>
      <c r="I21" s="192">
        <v>2.6577417384791992E-3</v>
      </c>
      <c r="J21" s="192">
        <v>1.7623016429586455E-2</v>
      </c>
      <c r="K21" s="192">
        <v>2.8834740837997981E-2</v>
      </c>
      <c r="L21" s="194">
        <v>2100</v>
      </c>
      <c r="M21" s="192">
        <v>8.4344295183697287E-4</v>
      </c>
      <c r="N21" s="192">
        <v>1.720076451127132E-3</v>
      </c>
      <c r="O21" s="192">
        <v>1.1367955021891208E-2</v>
      </c>
      <c r="P21" s="217">
        <v>1.8699062245100519E-2</v>
      </c>
    </row>
    <row r="23" spans="2:16">
      <c r="B23" s="219"/>
      <c r="C23" s="11"/>
      <c r="D23" s="11"/>
      <c r="E23" s="11"/>
      <c r="F23" s="11"/>
    </row>
    <row r="24" spans="2:16" ht="15" customHeight="1">
      <c r="B24" s="11"/>
      <c r="C24" s="11"/>
      <c r="D24" s="11"/>
      <c r="E24" s="11"/>
      <c r="F24" s="11"/>
      <c r="J24" s="256" t="s">
        <v>253</v>
      </c>
      <c r="K24" s="256"/>
      <c r="L24" s="256"/>
      <c r="M24" s="256"/>
      <c r="N24" s="256"/>
    </row>
    <row r="25" spans="2:16">
      <c r="C25" s="68"/>
      <c r="D25" s="68"/>
      <c r="E25" s="68"/>
      <c r="F25" s="68"/>
      <c r="J25" s="256"/>
      <c r="K25" s="256"/>
      <c r="L25" s="256"/>
      <c r="M25" s="256"/>
      <c r="N25" s="256"/>
    </row>
    <row r="26" spans="2:16">
      <c r="C26" s="68"/>
      <c r="D26" s="68"/>
      <c r="E26" s="68"/>
      <c r="F26" s="68"/>
      <c r="J26" s="256"/>
      <c r="K26" s="256"/>
      <c r="L26" s="256"/>
      <c r="M26" s="256"/>
      <c r="N26" s="256"/>
    </row>
    <row r="27" spans="2:16">
      <c r="C27" s="68"/>
      <c r="D27" s="68"/>
      <c r="E27" s="68"/>
      <c r="F27" s="68"/>
      <c r="J27" s="256"/>
      <c r="K27" s="256"/>
      <c r="L27" s="256"/>
      <c r="M27" s="256"/>
      <c r="N27" s="256"/>
    </row>
    <row r="28" spans="2:16">
      <c r="C28" s="68"/>
      <c r="D28" s="68"/>
      <c r="E28" s="68"/>
      <c r="F28" s="68"/>
      <c r="J28" s="256"/>
      <c r="K28" s="256"/>
      <c r="L28" s="256"/>
      <c r="M28" s="256"/>
      <c r="N28" s="256"/>
    </row>
    <row r="29" spans="2:16">
      <c r="C29" s="68"/>
      <c r="D29" s="68"/>
      <c r="E29" s="68"/>
      <c r="F29" s="68"/>
      <c r="J29" s="256"/>
      <c r="K29" s="256"/>
      <c r="L29" s="256"/>
      <c r="M29" s="256"/>
      <c r="N29" s="256"/>
    </row>
    <row r="30" spans="2:16">
      <c r="C30" s="68"/>
      <c r="D30" s="68"/>
      <c r="E30" s="68"/>
      <c r="F30" s="68"/>
      <c r="J30" s="256"/>
      <c r="K30" s="256"/>
      <c r="L30" s="256"/>
      <c r="M30" s="256"/>
      <c r="N30" s="256"/>
    </row>
    <row r="31" spans="2:16">
      <c r="C31" s="68"/>
      <c r="D31" s="68"/>
      <c r="E31" s="68"/>
      <c r="F31" s="68"/>
      <c r="J31" s="256"/>
      <c r="K31" s="256"/>
      <c r="L31" s="256"/>
      <c r="M31" s="256"/>
      <c r="N31" s="256"/>
    </row>
    <row r="32" spans="2:16">
      <c r="C32" s="68"/>
      <c r="D32" s="68"/>
      <c r="E32" s="68"/>
      <c r="F32" s="68"/>
    </row>
    <row r="33" spans="2:6">
      <c r="C33" s="68"/>
      <c r="D33" s="68"/>
      <c r="E33" s="68"/>
      <c r="F33" s="68"/>
    </row>
    <row r="34" spans="2:6">
      <c r="C34" s="68"/>
      <c r="D34" s="68"/>
      <c r="E34" s="68"/>
      <c r="F34" s="68"/>
    </row>
    <row r="35" spans="2:6">
      <c r="C35" s="68"/>
      <c r="D35" s="68"/>
      <c r="E35" s="68"/>
      <c r="F35" s="68"/>
    </row>
    <row r="36" spans="2:6">
      <c r="C36" s="68"/>
      <c r="D36" s="68"/>
      <c r="E36" s="68"/>
      <c r="F36" s="68"/>
    </row>
    <row r="37" spans="2:6">
      <c r="C37" s="68"/>
      <c r="D37" s="68"/>
      <c r="E37" s="68"/>
      <c r="F37" s="68"/>
    </row>
    <row r="38" spans="2:6">
      <c r="C38" s="68"/>
      <c r="D38" s="68"/>
      <c r="E38" s="68"/>
      <c r="F38" s="68"/>
    </row>
    <row r="39" spans="2:6">
      <c r="C39" s="68"/>
      <c r="D39" s="68"/>
      <c r="E39" s="68"/>
      <c r="F39" s="68"/>
    </row>
    <row r="40" spans="2:6">
      <c r="C40" s="68"/>
      <c r="D40" s="68"/>
      <c r="E40" s="68"/>
      <c r="F40" s="68"/>
    </row>
    <row r="41" spans="2:6">
      <c r="C41" s="68"/>
      <c r="D41" s="68"/>
      <c r="E41" s="68"/>
      <c r="F41" s="68"/>
    </row>
    <row r="42" spans="2:6">
      <c r="B42" s="210" t="s">
        <v>88</v>
      </c>
      <c r="C42" s="68" t="s">
        <v>199</v>
      </c>
      <c r="D42" s="68" t="s">
        <v>200</v>
      </c>
      <c r="E42" s="68" t="s">
        <v>201</v>
      </c>
      <c r="F42" s="68" t="s">
        <v>202</v>
      </c>
    </row>
    <row r="43" spans="2:6">
      <c r="B43" s="193">
        <v>2020</v>
      </c>
      <c r="C43" s="63">
        <f>SUM(Costing!D156:I156)/1000000000</f>
        <v>0.58708683448691845</v>
      </c>
      <c r="D43" s="63">
        <f>SUM(Costing!L156:Q156)/1000000000</f>
        <v>0.58708683448691845</v>
      </c>
      <c r="E43" s="63">
        <f>SUM(Costing!T156:Y156)/1000000000</f>
        <v>0.58708683448691845</v>
      </c>
      <c r="F43" s="63">
        <f>SUM(Costing!AB156:AG156)/1000000000</f>
        <v>0.58708683448691845</v>
      </c>
    </row>
    <row r="44" spans="2:6">
      <c r="B44" s="193">
        <v>2021</v>
      </c>
      <c r="C44" s="63">
        <f>SUM(Costing!D157:I157)/1000000000</f>
        <v>0.62434266684598827</v>
      </c>
      <c r="D44" s="63">
        <f>SUM(Costing!L157:Q157)/1000000000</f>
        <v>0.6267994813995369</v>
      </c>
      <c r="E44" s="63">
        <f>SUM(Costing!T157:Y157)/1000000000</f>
        <v>0.63150839187292129</v>
      </c>
      <c r="F44" s="63">
        <f>SUM(Costing!AB157:AG157)/1000000000</f>
        <v>0.63293232010770317</v>
      </c>
    </row>
    <row r="45" spans="2:6">
      <c r="B45" s="193">
        <v>2022</v>
      </c>
      <c r="C45" s="63">
        <f>SUM(Costing!D158:I158)/1000000000</f>
        <v>0.66380260561362425</v>
      </c>
      <c r="D45" s="63">
        <f>SUM(Costing!L158:Q158)/1000000000</f>
        <v>0.66898839979043256</v>
      </c>
      <c r="E45" s="63">
        <f>SUM(Costing!T158:Y158)/1000000000</f>
        <v>0.67895104899512215</v>
      </c>
      <c r="F45" s="63">
        <f>SUM(Costing!AB158:AG158)/1000000000</f>
        <v>0.68193608217024071</v>
      </c>
    </row>
    <row r="46" spans="2:6">
      <c r="B46" s="193">
        <v>2023</v>
      </c>
      <c r="C46" s="63">
        <f>SUM(Costing!D159:I159)/1000000000</f>
        <v>0.70558983472394687</v>
      </c>
      <c r="D46" s="63">
        <f>SUM(Costing!L159:Q159)/1000000000</f>
        <v>0.71379807054338706</v>
      </c>
      <c r="E46" s="63">
        <f>SUM(Costing!T159:Y159)/1000000000</f>
        <v>0.72960313516034692</v>
      </c>
      <c r="F46" s="63">
        <f>SUM(Costing!AB159:AG159)/1000000000</f>
        <v>0.73429495102772202</v>
      </c>
    </row>
    <row r="47" spans="2:6">
      <c r="B47" s="193">
        <v>2024</v>
      </c>
      <c r="C47" s="63">
        <f>SUM(Costing!D160:I160)/1000000000</f>
        <v>0.7498341164410689</v>
      </c>
      <c r="D47" s="63">
        <f>SUM(Costing!L160:Q160)/1000000000</f>
        <v>0.76138096941877398</v>
      </c>
      <c r="E47" s="63">
        <f>SUM(Costing!T160:Y160)/1000000000</f>
        <v>0.78366394849036558</v>
      </c>
      <c r="F47" s="63">
        <f>SUM(Costing!AB160:AG160)/1000000000</f>
        <v>0.79021714379158703</v>
      </c>
    </row>
    <row r="48" spans="2:6">
      <c r="B48" s="193">
        <v>2025</v>
      </c>
      <c r="C48" s="63">
        <f>SUM(Costing!D161:I161)/1000000000</f>
        <v>0.79667213000635595</v>
      </c>
      <c r="D48" s="63">
        <f>SUM(Costing!L161:Q161)/1000000000</f>
        <v>0.81189799104728111</v>
      </c>
      <c r="E48" s="63">
        <f>SUM(Costing!T161:Y161)/1000000000</f>
        <v>0.84134436166215243</v>
      </c>
      <c r="F48" s="63">
        <f>SUM(Costing!AB161:AG161)/1000000000</f>
        <v>0.84992288715008291</v>
      </c>
    </row>
    <row r="49" spans="2:6">
      <c r="B49" s="193">
        <v>2026</v>
      </c>
      <c r="C49" s="63">
        <f>SUM(Costing!D162:I162)/1000000000</f>
        <v>0.84624782720383607</v>
      </c>
      <c r="D49" s="63">
        <f>SUM(Costing!L162:Q162)/1000000000</f>
        <v>0.86551889464597853</v>
      </c>
      <c r="E49" s="63">
        <f>SUM(Costing!T162:Y162)/1000000000</f>
        <v>0.90286745971225069</v>
      </c>
      <c r="F49" s="63">
        <f>SUM(Costing!AB162:AG162)/1000000000</f>
        <v>0.91364507280799134</v>
      </c>
    </row>
    <row r="50" spans="2:6">
      <c r="B50" s="193">
        <v>2027</v>
      </c>
      <c r="C50" s="63">
        <f>SUM(Costing!D163:I163)/1000000000</f>
        <v>0.89871280566816958</v>
      </c>
      <c r="D50" s="63">
        <f>SUM(Costing!L163:Q163)/1000000000</f>
        <v>0.92242277253835969</v>
      </c>
      <c r="E50" s="63">
        <f>SUM(Costing!T163:Y163)/1000000000</f>
        <v>0.96846921154528587</v>
      </c>
      <c r="F50" s="63">
        <f>SUM(Costing!AB163:AG163)/1000000000</f>
        <v>0.98162994719836272</v>
      </c>
    </row>
    <row r="51" spans="2:6">
      <c r="B51" s="193">
        <v>2028</v>
      </c>
      <c r="C51" s="63">
        <f>SUM(Costing!D164:I164)/1000000000</f>
        <v>0.95422670079893757</v>
      </c>
      <c r="D51" s="63">
        <f>SUM(Costing!L164:Q164)/1000000000</f>
        <v>0.98279854261257005</v>
      </c>
      <c r="E51" s="63">
        <f>SUM(Costing!T164:Y164)/1000000000</f>
        <v>1.0383991768681873</v>
      </c>
      <c r="F51" s="63">
        <f>SUM(Costing!AB164:AG164)/1000000000</f>
        <v>1.0541378371983245</v>
      </c>
    </row>
    <row r="52" spans="2:6">
      <c r="B52" s="193">
        <v>2029</v>
      </c>
      <c r="C52" s="63">
        <f>SUM(Costing!D165:I165)/1000000000</f>
        <v>1.0129575971861815</v>
      </c>
      <c r="D52" s="63">
        <f>SUM(Costing!L165:Q165)/1000000000</f>
        <v>1.0468454659071371</v>
      </c>
      <c r="E52" s="63">
        <f>SUM(Costing!T165:Y165)/1000000000</f>
        <v>1.1129212503572197</v>
      </c>
      <c r="F52" s="63">
        <f>SUM(Costing!AB165:AG165)/1000000000</f>
        <v>1.1314439136661958</v>
      </c>
    </row>
    <row r="53" spans="2:6">
      <c r="B53" s="193">
        <v>2030</v>
      </c>
      <c r="C53" s="63">
        <f>SUM(Costing!D166:I166)/1000000000</f>
        <v>1.0750824604952465</v>
      </c>
      <c r="D53" s="63">
        <f>SUM(Costing!L166:Q166)/1000000000</f>
        <v>1.1147736905712271</v>
      </c>
      <c r="E53" s="63">
        <f>SUM(Costing!T166:Y166)/1000000000</f>
        <v>1.1923144449545495</v>
      </c>
      <c r="F53" s="63">
        <f>SUM(Costing!AB166:AG166)/1000000000</f>
        <v>1.2138389947063675</v>
      </c>
    </row>
    <row r="54" spans="2:6">
      <c r="B54" s="193">
        <v>2040</v>
      </c>
      <c r="C54" s="63">
        <f>SUM(Costing!D167:I167)/1000000000</f>
        <v>1.8269075229000573</v>
      </c>
      <c r="D54" s="63">
        <f>SUM(Costing!L167:Q167)/1000000000</f>
        <v>2.0531178092784237</v>
      </c>
      <c r="E54" s="63">
        <f>SUM(Costing!T167:Y167)/1000000000</f>
        <v>2.3725872311135285</v>
      </c>
      <c r="F54" s="63">
        <f>SUM(Costing!AB167:AG167)/1000000000</f>
        <v>2.6586939015786712</v>
      </c>
    </row>
    <row r="55" spans="2:6">
      <c r="B55" s="193">
        <v>2050</v>
      </c>
      <c r="C55" s="63">
        <f>SUM(Costing!D168:I168)/1000000000</f>
        <v>2.8665091748384572</v>
      </c>
      <c r="D55" s="63">
        <f>SUM(Costing!L168:Q168)/1000000000</f>
        <v>3.5984296961831062</v>
      </c>
      <c r="E55" s="63">
        <f>SUM(Costing!T168:Y168)/1000000000</f>
        <v>4.5708190214821025</v>
      </c>
      <c r="F55" s="63">
        <f>SUM(Costing!AB168:AG168)/1000000000</f>
        <v>6.1149724636253877</v>
      </c>
    </row>
    <row r="56" spans="2:6">
      <c r="B56" s="193">
        <v>2060</v>
      </c>
      <c r="C56" s="63">
        <f>SUM(Costing!D169:I169)/1000000000</f>
        <v>4.2138799599844168</v>
      </c>
      <c r="D56" s="63">
        <f>SUM(Costing!L169:Q169)/1000000000</f>
        <v>5.913135487756791</v>
      </c>
      <c r="E56" s="63">
        <f>SUM(Costing!T169:Y169)/1000000000</f>
        <v>8.6711723736851205</v>
      </c>
      <c r="F56" s="63">
        <f>SUM(Costing!AB169:AG169)/1000000000</f>
        <v>14.728480195709137</v>
      </c>
    </row>
    <row r="57" spans="2:6">
      <c r="B57" s="193">
        <v>2070</v>
      </c>
      <c r="C57" s="63">
        <f>SUM(Costing!D170:I170)/1000000000</f>
        <v>5.9059219524121005</v>
      </c>
      <c r="D57" s="63">
        <f>SUM(Costing!L170:Q170)/1000000000</f>
        <v>9.064945730573795</v>
      </c>
      <c r="E57" s="63">
        <f>SUM(Costing!T170:Y170)/1000000000</f>
        <v>16.054285904039205</v>
      </c>
      <c r="F57" s="63">
        <f>SUM(Costing!AB170:AG170)/1000000000</f>
        <v>36.724500949510997</v>
      </c>
    </row>
    <row r="58" spans="2:6">
      <c r="B58" s="193">
        <v>2080</v>
      </c>
      <c r="C58" s="63">
        <f>SUM(Costing!D171:I171)/1000000000</f>
        <v>7.8862045307155739</v>
      </c>
      <c r="D58" s="63">
        <f>SUM(Costing!L171:Q171)/1000000000</f>
        <v>13.119375577459222</v>
      </c>
      <c r="E58" s="63">
        <f>SUM(Costing!T171:Y171)/1000000000</f>
        <v>28.516983909702105</v>
      </c>
      <c r="F58" s="63">
        <f>SUM(Costing!AB171:AG171)/1000000000</f>
        <v>92.279161446389779</v>
      </c>
    </row>
    <row r="59" spans="2:6">
      <c r="B59" s="193">
        <v>2090</v>
      </c>
      <c r="C59" s="63">
        <f>SUM(Costing!D172:I172)/1000000000</f>
        <v>10.063786418803858</v>
      </c>
      <c r="D59" s="63">
        <f>SUM(Costing!L172:Q172)/1000000000</f>
        <v>18.195524399481567</v>
      </c>
      <c r="E59" s="63">
        <f>SUM(Costing!T172:Y172)/1000000000</f>
        <v>49.170650188428574</v>
      </c>
      <c r="F59" s="63">
        <f>SUM(Costing!AB172:AG172)/1000000000</f>
        <v>224.41882805352736</v>
      </c>
    </row>
    <row r="60" spans="2:6">
      <c r="B60" s="194">
        <v>2100</v>
      </c>
      <c r="C60" s="63">
        <f>SUM(Costing!D173:I173)/1000000000</f>
        <v>12.708832985129018</v>
      </c>
      <c r="D60" s="63">
        <f>SUM(Costing!L173:Q173)/1000000000</f>
        <v>24.640210023360048</v>
      </c>
      <c r="E60" s="63">
        <f>SUM(Costing!T173:Y173)/1000000000</f>
        <v>83.570479365657633</v>
      </c>
      <c r="F60" s="63">
        <f>SUM(Costing!AB173:AG173)/1000000000</f>
        <v>513.87300235124599</v>
      </c>
    </row>
    <row r="61" spans="2:6">
      <c r="C61" s="68"/>
      <c r="D61" s="68"/>
      <c r="E61" s="68"/>
      <c r="F61" s="68"/>
    </row>
    <row r="62" spans="2:6">
      <c r="C62" s="68"/>
      <c r="D62" s="68"/>
      <c r="E62" s="68"/>
      <c r="F62" s="68"/>
    </row>
    <row r="63" spans="2:6">
      <c r="C63" s="68"/>
      <c r="D63" s="68"/>
      <c r="E63" s="68"/>
      <c r="F63" s="68"/>
    </row>
  </sheetData>
  <mergeCells count="4">
    <mergeCell ref="H2:K2"/>
    <mergeCell ref="M2:P2"/>
    <mergeCell ref="J24:N31"/>
    <mergeCell ref="C2:F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BDC12-6805-4C5B-BF1E-6420AE0BC83D}">
  <sheetPr>
    <tabColor rgb="FFC65911"/>
  </sheetPr>
  <dimension ref="B2:E84"/>
  <sheetViews>
    <sheetView topLeftCell="A64" workbookViewId="0">
      <selection activeCell="Q67" sqref="Q67"/>
    </sheetView>
  </sheetViews>
  <sheetFormatPr defaultRowHeight="15"/>
  <cols>
    <col min="1" max="1" width="3.42578125" customWidth="1"/>
  </cols>
  <sheetData>
    <row r="2" spans="2:5">
      <c r="B2" s="218" t="s">
        <v>199</v>
      </c>
      <c r="C2" s="284" t="s">
        <v>252</v>
      </c>
      <c r="D2" s="285"/>
      <c r="E2" s="286"/>
    </row>
    <row r="3" spans="2:5">
      <c r="B3" s="185" t="s">
        <v>88</v>
      </c>
      <c r="C3" s="185" t="s">
        <v>211</v>
      </c>
      <c r="D3" s="185" t="s">
        <v>191</v>
      </c>
      <c r="E3" s="185" t="s">
        <v>210</v>
      </c>
    </row>
    <row r="4" spans="2:5">
      <c r="B4" s="193">
        <v>2020</v>
      </c>
      <c r="C4" s="68">
        <v>2.1607209554580745E-4</v>
      </c>
      <c r="D4" s="68">
        <v>3.332702878804354E-4</v>
      </c>
      <c r="E4" s="216">
        <v>4.5267115091401233E-4</v>
      </c>
    </row>
    <row r="5" spans="2:5">
      <c r="B5" s="193">
        <v>2021</v>
      </c>
      <c r="C5" s="68">
        <v>2.1818368832531447E-4</v>
      </c>
      <c r="D5" s="68">
        <v>3.3654907906148463E-4</v>
      </c>
      <c r="E5" s="216">
        <v>4.5713937447481684E-4</v>
      </c>
    </row>
    <row r="6" spans="2:5">
      <c r="B6" s="193">
        <v>2022</v>
      </c>
      <c r="C6" s="68">
        <v>2.2082362912533452E-4</v>
      </c>
      <c r="D6" s="68">
        <v>3.4064319653231918E-4</v>
      </c>
      <c r="E6" s="216">
        <v>4.6271530162678539E-4</v>
      </c>
    </row>
    <row r="7" spans="2:5">
      <c r="B7" s="193">
        <v>2023</v>
      </c>
      <c r="C7" s="68">
        <v>2.239582767531531E-4</v>
      </c>
      <c r="D7" s="68">
        <v>3.455008963915202E-4</v>
      </c>
      <c r="E7" s="216">
        <v>4.6932874749253996E-4</v>
      </c>
    </row>
    <row r="8" spans="2:5">
      <c r="B8" s="193">
        <v>2024</v>
      </c>
      <c r="C8" s="68">
        <v>2.2756186453745352E-4</v>
      </c>
      <c r="D8" s="68">
        <v>3.5108256851912014E-4</v>
      </c>
      <c r="E8" s="216">
        <v>4.7692600012466056E-4</v>
      </c>
    </row>
    <row r="9" spans="2:5">
      <c r="B9" s="193">
        <v>2025</v>
      </c>
      <c r="C9" s="68">
        <v>2.3161494686515903E-4</v>
      </c>
      <c r="D9" s="68">
        <v>3.5735834381203109E-4</v>
      </c>
      <c r="E9" s="216">
        <v>4.8546657271040714E-4</v>
      </c>
    </row>
    <row r="10" spans="2:5">
      <c r="B10" s="193">
        <v>2026</v>
      </c>
      <c r="C10" s="68">
        <v>2.3610322555328759E-4</v>
      </c>
      <c r="D10" s="68">
        <v>3.6430628652584104E-4</v>
      </c>
      <c r="E10" s="216">
        <v>4.9492075000189201E-4</v>
      </c>
    </row>
    <row r="11" spans="2:5">
      <c r="B11" s="193">
        <v>2027</v>
      </c>
      <c r="C11" s="68">
        <v>2.4101665339851643E-4</v>
      </c>
      <c r="D11" s="68">
        <v>3.7191101359018372E-4</v>
      </c>
      <c r="E11" s="216">
        <v>5.0526771432358791E-4</v>
      </c>
    </row>
    <row r="12" spans="2:5">
      <c r="B12" s="193">
        <v>2028</v>
      </c>
      <c r="C12" s="68">
        <v>2.4634874284969611E-4</v>
      </c>
      <c r="D12" s="68">
        <v>3.8016262990503571E-4</v>
      </c>
      <c r="E12" s="216">
        <v>5.1649410049679951E-4</v>
      </c>
    </row>
    <row r="13" spans="2:5">
      <c r="B13" s="193">
        <v>2029</v>
      </c>
      <c r="C13" s="68">
        <v>2.5209602846030973E-4</v>
      </c>
      <c r="D13" s="68">
        <v>3.8905590052967852E-4</v>
      </c>
      <c r="E13" s="216">
        <v>5.285928723275221E-4</v>
      </c>
    </row>
    <row r="14" spans="2:5">
      <c r="B14" s="193">
        <v>2030</v>
      </c>
      <c r="C14" s="68">
        <v>2.582576460277677E-4</v>
      </c>
      <c r="D14" s="68">
        <v>3.9858960262660875E-4</v>
      </c>
      <c r="E14" s="216">
        <v>5.4156244309965201E-4</v>
      </c>
    </row>
    <row r="15" spans="2:5">
      <c r="B15" s="193">
        <v>2040</v>
      </c>
      <c r="C15" s="68">
        <v>3.0624666392371427E-4</v>
      </c>
      <c r="D15" s="68">
        <v>4.7285081945695073E-4</v>
      </c>
      <c r="E15" s="216">
        <v>6.4259292950724287E-4</v>
      </c>
    </row>
    <row r="16" spans="2:5">
      <c r="B16" s="193">
        <v>2050</v>
      </c>
      <c r="C16" s="68">
        <v>3.680872401054324E-4</v>
      </c>
      <c r="D16" s="68">
        <v>5.6843108704731271E-4</v>
      </c>
      <c r="E16" s="216">
        <v>7.7254968595196676E-4</v>
      </c>
    </row>
    <row r="17" spans="2:5">
      <c r="B17" s="193">
        <v>2060</v>
      </c>
      <c r="C17" s="68">
        <v>4.4243348598456785E-4</v>
      </c>
      <c r="D17" s="68">
        <v>6.8320958250539423E-4</v>
      </c>
      <c r="E17" s="216">
        <v>9.2852178024727561E-4</v>
      </c>
    </row>
    <row r="18" spans="2:5">
      <c r="B18" s="193">
        <v>2070</v>
      </c>
      <c r="C18" s="68">
        <v>5.2710188963926458E-4</v>
      </c>
      <c r="D18" s="68">
        <v>8.137649030369251E-4</v>
      </c>
      <c r="E18" s="216">
        <v>1.1058259254820753E-3</v>
      </c>
    </row>
    <row r="19" spans="2:5">
      <c r="B19" s="193">
        <v>2080</v>
      </c>
      <c r="C19" s="68">
        <v>6.2113227193823554E-4</v>
      </c>
      <c r="D19" s="68">
        <v>9.5853183641187215E-4</v>
      </c>
      <c r="E19" s="216">
        <v>1.3022793602398017E-3</v>
      </c>
    </row>
    <row r="20" spans="2:5">
      <c r="B20" s="193">
        <v>2090</v>
      </c>
      <c r="C20" s="68">
        <v>7.1860931013495346E-4</v>
      </c>
      <c r="D20" s="68">
        <v>1.1082795149548333E-3</v>
      </c>
      <c r="E20" s="216">
        <v>1.5052719031060835E-3</v>
      </c>
    </row>
    <row r="21" spans="2:5">
      <c r="B21" s="194">
        <v>2100</v>
      </c>
      <c r="C21" s="192">
        <v>8.4344295183697287E-4</v>
      </c>
      <c r="D21" s="192">
        <v>1.2997912826398005E-3</v>
      </c>
      <c r="E21" s="217">
        <v>1.764700945123364E-3</v>
      </c>
    </row>
    <row r="23" spans="2:5">
      <c r="B23" s="218" t="s">
        <v>200</v>
      </c>
      <c r="C23" s="284" t="s">
        <v>252</v>
      </c>
      <c r="D23" s="285"/>
      <c r="E23" s="286"/>
    </row>
    <row r="24" spans="2:5">
      <c r="B24" s="185" t="s">
        <v>88</v>
      </c>
      <c r="C24" s="185" t="s">
        <v>211</v>
      </c>
      <c r="D24" s="185" t="s">
        <v>191</v>
      </c>
      <c r="E24" s="185" t="s">
        <v>210</v>
      </c>
    </row>
    <row r="25" spans="2:5">
      <c r="B25" s="193">
        <v>2020</v>
      </c>
      <c r="C25" s="68">
        <v>2.1607209554580745E-4</v>
      </c>
      <c r="D25" s="68">
        <v>3.332702878804354E-4</v>
      </c>
      <c r="E25" s="216">
        <v>4.5267115091401233E-4</v>
      </c>
    </row>
    <row r="26" spans="2:5">
      <c r="B26" s="193">
        <v>2021</v>
      </c>
      <c r="C26" s="68">
        <v>2.2151975035566534E-4</v>
      </c>
      <c r="D26" s="68">
        <v>3.4170267899106372E-4</v>
      </c>
      <c r="E26" s="216">
        <v>4.6414478123226751E-4</v>
      </c>
    </row>
    <row r="27" spans="2:5">
      <c r="B27" s="193">
        <v>2022</v>
      </c>
      <c r="C27" s="68">
        <v>2.2739060500682231E-4</v>
      </c>
      <c r="D27" s="68">
        <v>3.5078916038141757E-4</v>
      </c>
      <c r="E27" s="216">
        <v>4.7650775000604364E-4</v>
      </c>
    </row>
    <row r="28" spans="2:5">
      <c r="B28" s="193">
        <v>2023</v>
      </c>
      <c r="C28" s="68">
        <v>2.3368507953741758E-4</v>
      </c>
      <c r="D28" s="68">
        <v>3.6053053447263403E-4</v>
      </c>
      <c r="E28" s="216">
        <v>4.8976125132683913E-4</v>
      </c>
    </row>
    <row r="29" spans="2:5">
      <c r="B29" s="193">
        <v>2024</v>
      </c>
      <c r="C29" s="68">
        <v>2.4040603978812131E-4</v>
      </c>
      <c r="D29" s="68">
        <v>3.7093137523245336E-4</v>
      </c>
      <c r="E29" s="216">
        <v>5.0391160148161962E-4</v>
      </c>
    </row>
    <row r="30" spans="2:5">
      <c r="B30" s="193">
        <v>2025</v>
      </c>
      <c r="C30" s="68">
        <v>2.47558507297659E-4</v>
      </c>
      <c r="D30" s="68">
        <v>3.8199958216679112E-4</v>
      </c>
      <c r="E30" s="216">
        <v>5.1896963413001779E-4</v>
      </c>
    </row>
    <row r="31" spans="2:5">
      <c r="B31" s="193">
        <v>2026</v>
      </c>
      <c r="C31" s="68">
        <v>2.5514943309215186E-4</v>
      </c>
      <c r="D31" s="68">
        <v>3.9374603264813143E-4</v>
      </c>
      <c r="E31" s="216">
        <v>5.3495022890580031E-4</v>
      </c>
    </row>
    <row r="32" spans="2:5">
      <c r="B32" s="193">
        <v>2027</v>
      </c>
      <c r="C32" s="68">
        <v>2.631875213571846E-4</v>
      </c>
      <c r="D32" s="68">
        <v>4.0618431102177916E-4</v>
      </c>
      <c r="E32" s="216">
        <v>5.5187194419460521E-4</v>
      </c>
    </row>
    <row r="33" spans="2:5">
      <c r="B33" s="193">
        <v>2028</v>
      </c>
      <c r="C33" s="68">
        <v>2.7168309247239063E-4</v>
      </c>
      <c r="D33" s="68">
        <v>4.1933049830270545E-4</v>
      </c>
      <c r="E33" s="216">
        <v>5.6975673212765921E-4</v>
      </c>
    </row>
    <row r="34" spans="2:5">
      <c r="B34" s="193">
        <v>2029</v>
      </c>
      <c r="C34" s="68">
        <v>2.8064797743475301E-4</v>
      </c>
      <c r="D34" s="68">
        <v>4.3320301019410273E-4</v>
      </c>
      <c r="E34" s="216">
        <v>5.8862971914718832E-4</v>
      </c>
    </row>
    <row r="35" spans="2:5">
      <c r="B35" s="193">
        <v>2030</v>
      </c>
      <c r="C35" s="68">
        <v>2.900954375745966E-4</v>
      </c>
      <c r="D35" s="68">
        <v>4.4782247404827981E-4</v>
      </c>
      <c r="E35" s="216">
        <v>6.0851903941941149E-4</v>
      </c>
    </row>
    <row r="36" spans="2:5">
      <c r="B36" s="193">
        <v>2040</v>
      </c>
      <c r="C36" s="68">
        <v>4.114017843180352E-4</v>
      </c>
      <c r="D36" s="68">
        <v>6.3549228915667742E-4</v>
      </c>
      <c r="E36" s="216">
        <v>8.6380728522671613E-4</v>
      </c>
    </row>
    <row r="37" spans="2:5">
      <c r="B37" s="193">
        <v>2050</v>
      </c>
      <c r="C37" s="68">
        <v>5.8033825295183126E-4</v>
      </c>
      <c r="D37" s="68">
        <v>8.9684059499332478E-4</v>
      </c>
      <c r="E37" s="216">
        <v>1.2193148580915845E-3</v>
      </c>
    </row>
    <row r="38" spans="2:5">
      <c r="B38" s="193">
        <v>2060</v>
      </c>
      <c r="C38" s="68">
        <v>7.8760484545954028E-4</v>
      </c>
      <c r="D38" s="68">
        <v>1.2174299637171119E-3</v>
      </c>
      <c r="E38" s="216">
        <v>1.6553690802219431E-3</v>
      </c>
    </row>
    <row r="39" spans="2:5">
      <c r="B39" s="193">
        <v>2070</v>
      </c>
      <c r="C39" s="68">
        <v>1.0065090798904433E-3</v>
      </c>
      <c r="D39" s="68">
        <v>1.5559347184980433E-3</v>
      </c>
      <c r="E39" s="216">
        <v>2.115733949424943E-3</v>
      </c>
    </row>
    <row r="40" spans="2:5">
      <c r="B40" s="193">
        <v>2080</v>
      </c>
      <c r="C40" s="68">
        <v>1.2341547433192567E-3</v>
      </c>
      <c r="D40" s="68">
        <v>1.9077415497051344E-3</v>
      </c>
      <c r="E40" s="216">
        <v>2.5940448006300568E-3</v>
      </c>
    </row>
    <row r="41" spans="2:5">
      <c r="B41" s="193">
        <v>2090</v>
      </c>
      <c r="C41" s="68">
        <v>1.4685797984202442E-3</v>
      </c>
      <c r="D41" s="68">
        <v>2.2697110631062015E-3</v>
      </c>
      <c r="E41" s="216">
        <v>3.0859612171382548E-3</v>
      </c>
    </row>
    <row r="42" spans="2:5">
      <c r="B42" s="194">
        <v>2100</v>
      </c>
      <c r="C42" s="192">
        <v>1.720076451127132E-3</v>
      </c>
      <c r="D42" s="192">
        <v>2.6577417384791992E-3</v>
      </c>
      <c r="E42" s="217">
        <v>3.6130936419658758E-3</v>
      </c>
    </row>
    <row r="44" spans="2:5">
      <c r="B44" s="218" t="s">
        <v>201</v>
      </c>
      <c r="C44" s="284" t="s">
        <v>252</v>
      </c>
      <c r="D44" s="285"/>
      <c r="E44" s="286"/>
    </row>
    <row r="45" spans="2:5">
      <c r="B45" s="185" t="s">
        <v>88</v>
      </c>
      <c r="C45" s="185" t="s">
        <v>211</v>
      </c>
      <c r="D45" s="185" t="s">
        <v>191</v>
      </c>
      <c r="E45" s="185" t="s">
        <v>210</v>
      </c>
    </row>
    <row r="46" spans="2:5">
      <c r="B46" s="193">
        <v>2020</v>
      </c>
      <c r="C46" s="68">
        <v>2.1607209554580745E-4</v>
      </c>
      <c r="D46" s="68">
        <v>3.332702878804354E-4</v>
      </c>
      <c r="E46" s="68">
        <v>4.5267115091401233E-4</v>
      </c>
    </row>
    <row r="47" spans="2:5">
      <c r="B47" s="193">
        <v>2021</v>
      </c>
      <c r="C47" s="68">
        <v>2.248061996594661E-4</v>
      </c>
      <c r="D47" s="68">
        <v>3.4677914849151202E-4</v>
      </c>
      <c r="E47" s="68">
        <v>4.7104501442047118E-4</v>
      </c>
    </row>
    <row r="48" spans="2:5">
      <c r="B48" s="193">
        <v>2022</v>
      </c>
      <c r="C48" s="68">
        <v>2.3402546849747889E-4</v>
      </c>
      <c r="D48" s="68">
        <v>3.6103901865513729E-4</v>
      </c>
      <c r="E48" s="68">
        <v>4.9044076526590303E-4</v>
      </c>
    </row>
    <row r="49" spans="2:5">
      <c r="B49" s="193">
        <v>2023</v>
      </c>
      <c r="C49" s="68">
        <v>2.4374785246193516E-4</v>
      </c>
      <c r="D49" s="68">
        <v>3.7607779492373409E-4</v>
      </c>
      <c r="E49" s="68">
        <v>5.1089643593663569E-4</v>
      </c>
    </row>
    <row r="50" spans="2:5">
      <c r="B50" s="193">
        <v>2024</v>
      </c>
      <c r="C50" s="68">
        <v>2.5399269407127455E-4</v>
      </c>
      <c r="D50" s="68">
        <v>3.9192552973293232E-4</v>
      </c>
      <c r="E50" s="68">
        <v>5.3245299304156542E-4</v>
      </c>
    </row>
    <row r="51" spans="2:5">
      <c r="B51" s="193">
        <v>2025</v>
      </c>
      <c r="C51" s="68">
        <v>2.6478071586003899E-4</v>
      </c>
      <c r="D51" s="68">
        <v>4.0861441365733437E-4</v>
      </c>
      <c r="E51" s="68">
        <v>5.5515431383035686E-4</v>
      </c>
    </row>
    <row r="52" spans="2:5">
      <c r="B52" s="193">
        <v>2026</v>
      </c>
      <c r="C52" s="68">
        <v>2.7613402000544937E-4</v>
      </c>
      <c r="D52" s="68">
        <v>4.2617877572741447E-4</v>
      </c>
      <c r="E52" s="68">
        <v>5.7904718722577369E-4</v>
      </c>
    </row>
    <row r="53" spans="2:5">
      <c r="B53" s="193">
        <v>2027</v>
      </c>
      <c r="C53" s="68">
        <v>2.8807609792361319E-4</v>
      </c>
      <c r="D53" s="68">
        <v>4.4465509910938527E-4</v>
      </c>
      <c r="E53" s="68">
        <v>6.0418133571348562E-4</v>
      </c>
    </row>
    <row r="54" spans="2:5">
      <c r="B54" s="193">
        <v>2028</v>
      </c>
      <c r="C54" s="68">
        <v>3.0063184847463434E-4</v>
      </c>
      <c r="D54" s="68">
        <v>4.6408205005916996E-4</v>
      </c>
      <c r="E54" s="68">
        <v>6.3060945525880707E-4</v>
      </c>
    </row>
    <row r="55" spans="2:5">
      <c r="B55" s="193">
        <v>2029</v>
      </c>
      <c r="C55" s="68">
        <v>3.1382760372119779E-4</v>
      </c>
      <c r="D55" s="68">
        <v>4.845005185308461E-4</v>
      </c>
      <c r="E55" s="68">
        <v>6.5838727105603035E-4</v>
      </c>
    </row>
    <row r="56" spans="2:5">
      <c r="B56" s="193">
        <v>2030</v>
      </c>
      <c r="C56" s="68">
        <v>3.2769116142234182E-4</v>
      </c>
      <c r="D56" s="68">
        <v>5.059536691844204E-4</v>
      </c>
      <c r="E56" s="68">
        <v>6.8757360741025168E-4</v>
      </c>
    </row>
    <row r="57" spans="2:5">
      <c r="B57" s="193">
        <v>2040</v>
      </c>
      <c r="C57" s="68">
        <v>5.5296785417000298E-4</v>
      </c>
      <c r="D57" s="68">
        <v>8.5452547720349175E-4</v>
      </c>
      <c r="E57" s="68">
        <v>1.1617727995050337E-3</v>
      </c>
    </row>
    <row r="58" spans="2:5">
      <c r="B58" s="193">
        <v>2050</v>
      </c>
      <c r="C58" s="68">
        <v>9.5161221826444884E-4</v>
      </c>
      <c r="D58" s="68">
        <v>1.471674108988964E-3</v>
      </c>
      <c r="E58" s="68">
        <v>2.001563324298444E-3</v>
      </c>
    </row>
    <row r="59" spans="2:5">
      <c r="B59" s="193">
        <v>2060</v>
      </c>
      <c r="C59" s="68">
        <v>1.6505123353119534E-3</v>
      </c>
      <c r="D59" s="68">
        <v>2.5540871812853284E-3</v>
      </c>
      <c r="E59" s="68">
        <v>3.474757427446021E-3</v>
      </c>
    </row>
    <row r="60" spans="2:5">
      <c r="B60" s="193">
        <v>2070</v>
      </c>
      <c r="C60" s="68">
        <v>2.8040628856220531E-3</v>
      </c>
      <c r="D60" s="68">
        <v>4.3414017951583783E-3</v>
      </c>
      <c r="E60" s="68">
        <v>5.9078570760944839E-3</v>
      </c>
    </row>
    <row r="61" spans="2:5">
      <c r="B61" s="193">
        <v>2080</v>
      </c>
      <c r="C61" s="68">
        <v>4.5890783701467474E-3</v>
      </c>
      <c r="D61" s="68">
        <v>7.1083005353083997E-3</v>
      </c>
      <c r="E61" s="68">
        <v>9.6752789973175695E-3</v>
      </c>
    </row>
    <row r="62" spans="2:5">
      <c r="B62" s="193">
        <v>2090</v>
      </c>
      <c r="C62" s="68">
        <v>7.2905004413949736E-3</v>
      </c>
      <c r="D62" s="68">
        <v>1.1297503241092346E-2</v>
      </c>
      <c r="E62" s="68">
        <v>1.5380530398596642E-2</v>
      </c>
    </row>
    <row r="63" spans="2:5">
      <c r="B63" s="194">
        <v>2100</v>
      </c>
      <c r="C63" s="192">
        <v>1.1367955021891208E-2</v>
      </c>
      <c r="D63" s="192">
        <v>1.7623016429586455E-2</v>
      </c>
      <c r="E63" s="192">
        <v>2.3996848345542714E-2</v>
      </c>
    </row>
    <row r="65" spans="2:5">
      <c r="B65" s="218" t="s">
        <v>202</v>
      </c>
      <c r="C65" s="284" t="s">
        <v>252</v>
      </c>
      <c r="D65" s="285"/>
      <c r="E65" s="286"/>
    </row>
    <row r="66" spans="2:5">
      <c r="B66" s="185" t="s">
        <v>88</v>
      </c>
      <c r="C66" s="185" t="s">
        <v>211</v>
      </c>
      <c r="D66" s="185" t="s">
        <v>191</v>
      </c>
      <c r="E66" s="185" t="s">
        <v>210</v>
      </c>
    </row>
    <row r="67" spans="2:5">
      <c r="B67" s="193">
        <v>2020</v>
      </c>
      <c r="C67" s="216">
        <v>2.1607209554580745E-4</v>
      </c>
      <c r="D67" s="216">
        <v>3.332702878804354E-4</v>
      </c>
      <c r="E67" s="216">
        <v>4.5267115091401233E-4</v>
      </c>
    </row>
    <row r="68" spans="2:5">
      <c r="B68" s="193">
        <v>2021</v>
      </c>
      <c r="C68" s="216">
        <v>2.1847606424601779E-4</v>
      </c>
      <c r="D68" s="216">
        <v>3.370458568179643E-4</v>
      </c>
      <c r="E68" s="216">
        <v>4.57837291921247E-4</v>
      </c>
    </row>
    <row r="69" spans="2:5">
      <c r="B69" s="193">
        <v>2022</v>
      </c>
      <c r="C69" s="216">
        <v>2.2137777611746923E-4</v>
      </c>
      <c r="D69" s="216">
        <v>3.4151814696203094E-4</v>
      </c>
      <c r="E69" s="216">
        <v>4.6390938865386585E-4</v>
      </c>
    </row>
    <row r="70" spans="2:5">
      <c r="B70" s="193">
        <v>2023</v>
      </c>
      <c r="C70" s="216">
        <v>2.251785807244103E-4</v>
      </c>
      <c r="D70" s="216">
        <v>3.4738585581140917E-4</v>
      </c>
      <c r="E70" s="216">
        <v>4.718827671220676E-4</v>
      </c>
    </row>
    <row r="71" spans="2:5">
      <c r="B71" s="193">
        <v>2024</v>
      </c>
      <c r="C71" s="216">
        <v>2.2983094711476816E-4</v>
      </c>
      <c r="D71" s="216">
        <v>3.545754434476152E-4</v>
      </c>
      <c r="E71" s="216">
        <v>4.8165738520853854E-4</v>
      </c>
    </row>
    <row r="72" spans="2:5">
      <c r="B72" s="193">
        <v>2025</v>
      </c>
      <c r="C72" s="216">
        <v>2.3530393740895628E-4</v>
      </c>
      <c r="D72" s="216">
        <v>3.6303915142563451E-4</v>
      </c>
      <c r="E72" s="216">
        <v>4.9316834788548452E-4</v>
      </c>
    </row>
    <row r="73" spans="2:5">
      <c r="B73" s="193">
        <v>2026</v>
      </c>
      <c r="C73" s="216">
        <v>2.4157991733753591E-4</v>
      </c>
      <c r="D73" s="216">
        <v>3.7274989686744806E-4</v>
      </c>
      <c r="E73" s="216">
        <v>5.0637894998547216E-4</v>
      </c>
    </row>
    <row r="74" spans="2:5">
      <c r="B74" s="193">
        <v>2027</v>
      </c>
      <c r="C74" s="216">
        <v>2.4865218577096239E-4</v>
      </c>
      <c r="D74" s="216">
        <v>3.8369759403419326E-4</v>
      </c>
      <c r="E74" s="216">
        <v>5.2127566472573688E-4</v>
      </c>
    </row>
    <row r="75" spans="2:5">
      <c r="B75" s="193">
        <v>2028</v>
      </c>
      <c r="C75" s="216">
        <v>2.5652325515667279E-4</v>
      </c>
      <c r="D75" s="216">
        <v>3.9588648695607217E-4</v>
      </c>
      <c r="E75" s="216">
        <v>5.3786451037421445E-4</v>
      </c>
    </row>
    <row r="76" spans="2:5">
      <c r="B76" s="193">
        <v>2029</v>
      </c>
      <c r="C76" s="216">
        <v>2.6520360179258862E-4</v>
      </c>
      <c r="D76" s="216">
        <v>4.0933321188019661E-4</v>
      </c>
      <c r="E76" s="216">
        <v>5.5616841172119588E-4</v>
      </c>
    </row>
    <row r="77" spans="2:5">
      <c r="B77" s="193">
        <v>2030</v>
      </c>
      <c r="C77" s="216">
        <v>2.7429481580453668E-4</v>
      </c>
      <c r="D77" s="216">
        <v>4.2335294999214977E-4</v>
      </c>
      <c r="E77" s="216">
        <v>5.7521634607555756E-4</v>
      </c>
    </row>
    <row r="78" spans="2:5">
      <c r="B78" s="193">
        <v>2040</v>
      </c>
      <c r="C78" s="216">
        <v>3.8257493957432253E-4</v>
      </c>
      <c r="D78" s="216">
        <v>5.9073464572543134E-4</v>
      </c>
      <c r="E78" s="216">
        <v>8.0281542313826132E-4</v>
      </c>
    </row>
    <row r="79" spans="2:5">
      <c r="B79" s="193">
        <v>2050</v>
      </c>
      <c r="C79" s="216">
        <v>6.2758404142348285E-4</v>
      </c>
      <c r="D79" s="216">
        <v>9.6926602124835668E-4</v>
      </c>
      <c r="E79" s="216">
        <v>1.3173870879053735E-3</v>
      </c>
    </row>
    <row r="80" spans="2:5">
      <c r="B80" s="193">
        <v>2060</v>
      </c>
      <c r="C80" s="216">
        <v>1.1525582513509818E-3</v>
      </c>
      <c r="D80" s="216">
        <v>1.7800787267649608E-3</v>
      </c>
      <c r="E80" s="216">
        <v>2.4194252809125803E-3</v>
      </c>
    </row>
    <row r="81" spans="2:5">
      <c r="B81" s="193">
        <v>2070</v>
      </c>
      <c r="C81" s="216">
        <v>2.2695216488177634E-3</v>
      </c>
      <c r="D81" s="216">
        <v>3.5046302129237675E-3</v>
      </c>
      <c r="E81" s="216">
        <v>4.7630078135169609E-3</v>
      </c>
    </row>
    <row r="82" spans="2:5">
      <c r="B82" s="193">
        <v>2080</v>
      </c>
      <c r="C82" s="216">
        <v>4.666992731955936E-3</v>
      </c>
      <c r="D82" s="216">
        <v>7.204517746788746E-3</v>
      </c>
      <c r="E82" s="216">
        <v>9.7898174078141775E-3</v>
      </c>
    </row>
    <row r="83" spans="2:5">
      <c r="B83" s="193">
        <v>2090</v>
      </c>
      <c r="C83" s="216">
        <v>9.533882521541772E-3</v>
      </c>
      <c r="D83" s="216">
        <v>1.4710607888183302E-2</v>
      </c>
      <c r="E83" s="216">
        <v>1.9984701735548061E-2</v>
      </c>
    </row>
    <row r="84" spans="2:5">
      <c r="B84" s="194">
        <v>2100</v>
      </c>
      <c r="C84" s="217">
        <v>1.8699062245100519E-2</v>
      </c>
      <c r="D84" s="217">
        <v>2.8834740837997981E-2</v>
      </c>
      <c r="E84" s="217">
        <v>3.9160821736699554E-2</v>
      </c>
    </row>
  </sheetData>
  <mergeCells count="4">
    <mergeCell ref="C2:E2"/>
    <mergeCell ref="C23:E23"/>
    <mergeCell ref="C44:E44"/>
    <mergeCell ref="C65:E6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Demographic-Economic</vt:lpstr>
      <vt:lpstr>Inflation-Interest</vt:lpstr>
      <vt:lpstr>SSP Scenarios</vt:lpstr>
      <vt:lpstr>Model</vt:lpstr>
      <vt:lpstr>Economic Projections</vt:lpstr>
      <vt:lpstr>Prediction Results</vt:lpstr>
      <vt:lpstr>Prediction Results (Transposed)</vt:lpstr>
      <vt:lpstr>Costing</vt:lpstr>
      <vt:lpstr>Relevant Graphs</vt:lpstr>
      <vt:lpstr>Sensitivity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Brandon Ngo</cp:lastModifiedBy>
  <cp:revision/>
  <dcterms:created xsi:type="dcterms:W3CDTF">2023-03-11T12:22:54Z</dcterms:created>
  <dcterms:modified xsi:type="dcterms:W3CDTF">2023-03-24T13:21:48Z</dcterms:modified>
  <cp:category/>
  <cp:contentStatus/>
</cp:coreProperties>
</file>